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aki\OneDrive\Bureau\Stage M1\"/>
    </mc:Choice>
  </mc:AlternateContent>
  <xr:revisionPtr revIDLastSave="0" documentId="13_ncr:1_{8F8FD5D4-BCDB-4282-8234-06A9F910AD9B}" xr6:coauthVersionLast="47" xr6:coauthVersionMax="47" xr10:uidLastSave="{00000000-0000-0000-0000-000000000000}"/>
  <bookViews>
    <workbookView xWindow="-108" yWindow="-108" windowWidth="23256" windowHeight="12456" xr2:uid="{AE491A11-9E02-4660-AD9F-89A8B83CD9D7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2" i="1" l="1" a="1"/>
  <c r="C231" i="1" a="1"/>
  <c r="C230" i="1" a="1"/>
  <c r="C229" i="1" a="1"/>
  <c r="C228" i="1" a="1"/>
  <c r="C227" i="1" a="1"/>
  <c r="C226" i="1" a="1"/>
  <c r="C225" i="1" a="1"/>
  <c r="C224" i="1" a="1"/>
  <c r="C223" i="1" a="1"/>
  <c r="C222" i="1" a="1"/>
  <c r="C221" i="1" a="1"/>
  <c r="C206" i="1" a="1"/>
  <c r="C55" i="1" a="1"/>
  <c r="C164" i="1" a="1"/>
  <c r="Q110" i="1" a="1"/>
  <c r="C159" i="1" a="1"/>
  <c r="C79" i="1" a="1"/>
  <c r="D104" i="1" a="1"/>
  <c r="Q72" i="1" a="1"/>
  <c r="AF60" i="1" a="1"/>
  <c r="AF101" i="1" a="1"/>
  <c r="D140" i="1" a="1"/>
  <c r="Q59" i="1" a="1"/>
  <c r="AG108" i="1" a="1"/>
  <c r="C71" i="1" a="1"/>
  <c r="D103" i="1" a="1"/>
  <c r="Q159" i="1" a="1"/>
  <c r="Q102" i="1" a="1"/>
  <c r="C138" i="1" a="1"/>
  <c r="Q190" i="1" a="1"/>
  <c r="C156" i="1" a="1"/>
  <c r="AG75" i="1" a="1"/>
  <c r="C134" i="1" a="1"/>
  <c r="Q79" i="1" a="1"/>
  <c r="Q136" i="1" a="1"/>
  <c r="Q134" i="1" a="1"/>
  <c r="D73" i="1" a="1"/>
  <c r="R136" i="1" a="1"/>
  <c r="AF53" i="1" a="1"/>
  <c r="Q57" i="1" a="1"/>
  <c r="AF71" i="1" a="1"/>
  <c r="C133" i="1" a="1"/>
  <c r="C157" i="1" a="1"/>
  <c r="Q179" i="1" a="1"/>
  <c r="D55" i="1" a="1"/>
  <c r="C54" i="1" a="1"/>
  <c r="AG105" i="1" a="1"/>
  <c r="C102" i="1" a="1"/>
  <c r="R131" i="1" a="1"/>
  <c r="D105" i="1" a="1"/>
  <c r="Q184" i="1" a="1"/>
  <c r="C73" i="1" a="1"/>
  <c r="Q188" i="1" a="1"/>
  <c r="D79" i="1" a="1"/>
  <c r="AF59" i="1" a="1"/>
  <c r="Q52" i="1" a="1"/>
  <c r="C72" i="1" a="1"/>
  <c r="C187" i="1" a="1"/>
  <c r="C181" i="1" a="1"/>
  <c r="C52" i="1" a="1"/>
  <c r="C109" i="1" a="1"/>
  <c r="C104" i="1" a="1"/>
  <c r="AF51" i="1" a="1"/>
  <c r="Q158" i="1" a="1"/>
  <c r="Q105" i="1" a="1"/>
  <c r="AF52" i="1" a="1"/>
  <c r="C11" i="1" a="1"/>
  <c r="Q75" i="1" a="1"/>
  <c r="Q138" i="1" a="1"/>
  <c r="Q186" i="1" a="1"/>
  <c r="D56" i="1" a="1"/>
  <c r="AG79" i="1" a="1"/>
  <c r="AF76" i="1" a="1"/>
  <c r="D106" i="1" a="1"/>
  <c r="C108" i="1" a="1"/>
  <c r="Q187" i="1" a="1"/>
  <c r="AF104" i="1" a="1"/>
  <c r="Q103" i="1" a="1"/>
  <c r="D131" i="1" a="1"/>
  <c r="D80" i="1" a="1"/>
  <c r="C185" i="1" a="1"/>
  <c r="C162" i="1" a="1"/>
  <c r="C107" i="1" a="1"/>
  <c r="C184" i="1" a="1"/>
  <c r="Q58" i="1" a="1"/>
  <c r="D135" i="1" a="1"/>
  <c r="Q181" i="1" a="1"/>
  <c r="R106" i="1" a="1"/>
  <c r="Q160" i="1" a="1"/>
  <c r="AF110" i="1" a="1"/>
  <c r="R104" i="1" a="1"/>
  <c r="AF108" i="1" a="1"/>
  <c r="D132" i="1" a="1"/>
  <c r="C132" i="1" a="1"/>
  <c r="AF107" i="1" a="1"/>
  <c r="Q51" i="1" a="1"/>
  <c r="R107" i="1" a="1"/>
  <c r="D137" i="1" a="1"/>
  <c r="C140" i="1" a="1"/>
  <c r="Q164" i="1" a="1"/>
  <c r="Q76" i="1" a="1"/>
  <c r="R132" i="1" a="1"/>
  <c r="C78" i="1" a="1"/>
  <c r="C182" i="1" a="1"/>
  <c r="C158" i="1" a="1"/>
  <c r="Q139" i="1" a="1"/>
  <c r="C56" i="1" a="1"/>
  <c r="C167" i="1" a="1"/>
  <c r="D136" i="1" a="1"/>
  <c r="AG73" i="1" a="1"/>
  <c r="AF72" i="1" a="1"/>
  <c r="Q80" i="1" a="1"/>
  <c r="R134" i="1" a="1"/>
  <c r="D60" i="1" a="1"/>
  <c r="C163" i="1" a="1"/>
  <c r="D109" i="1" a="1"/>
  <c r="AF73" i="1" a="1"/>
  <c r="Q74" i="1" a="1"/>
  <c r="D72" i="1" a="1"/>
  <c r="D138" i="1" a="1"/>
  <c r="Q161" i="1" a="1"/>
  <c r="C51" i="1" a="1"/>
  <c r="C16" i="1" a="1"/>
  <c r="Q71" i="1" a="1"/>
  <c r="C14" i="1" a="1"/>
  <c r="C19" i="1" a="1"/>
  <c r="C59" i="1" a="1"/>
  <c r="Q106" i="1" a="1"/>
  <c r="C18" i="1" a="1"/>
  <c r="R137" i="1" a="1"/>
  <c r="R133" i="1" a="1"/>
  <c r="Q182" i="1" a="1"/>
  <c r="D58" i="1" a="1"/>
  <c r="C160" i="1" a="1"/>
  <c r="AG110" i="1" a="1"/>
  <c r="D101" i="1" a="1"/>
  <c r="AF56" i="1" a="1"/>
  <c r="D133" i="1" a="1"/>
  <c r="D76" i="1" a="1"/>
  <c r="AF109" i="1" a="1"/>
  <c r="R109" i="1" a="1"/>
  <c r="AG74" i="1" a="1"/>
  <c r="C188" i="1" a="1"/>
  <c r="AG106" i="1" a="1"/>
  <c r="Q77" i="1" a="1"/>
  <c r="C17" i="1" a="1"/>
  <c r="C57" i="1" a="1"/>
  <c r="D75" i="1" a="1"/>
  <c r="C183" i="1" a="1"/>
  <c r="R110" i="1" a="1"/>
  <c r="AG80" i="1" a="1"/>
  <c r="C106" i="1" a="1"/>
  <c r="Q55" i="1" a="1"/>
  <c r="C190" i="1" a="1"/>
  <c r="AG78" i="1" a="1"/>
  <c r="R101" i="1" a="1"/>
  <c r="Q167" i="1" a="1"/>
  <c r="AF105" i="1" a="1"/>
  <c r="C80" i="1" a="1"/>
  <c r="Q73" i="1" a="1"/>
  <c r="AG104" i="1" a="1"/>
  <c r="R138" i="1" a="1"/>
  <c r="C53" i="1" a="1"/>
  <c r="Q78" i="1" a="1"/>
  <c r="C135" i="1" a="1"/>
  <c r="C74" i="1" a="1"/>
  <c r="Q131" i="1" a="1"/>
  <c r="R102" i="1" a="1"/>
  <c r="AF103" i="1" a="1"/>
  <c r="C103" i="1" a="1"/>
  <c r="R139" i="1" a="1"/>
  <c r="D59" i="1" a="1"/>
  <c r="C165" i="1" a="1"/>
  <c r="Q162" i="1" a="1"/>
  <c r="AG101" i="1" a="1"/>
  <c r="R140" i="1" a="1"/>
  <c r="AF79" i="1" a="1"/>
  <c r="D139" i="1" a="1"/>
  <c r="D77" i="1" a="1"/>
  <c r="D19" i="1" a="1"/>
  <c r="D102" i="1" a="1"/>
  <c r="AF77" i="1" a="1"/>
  <c r="AG109" i="1" a="1"/>
  <c r="C60" i="1" a="1"/>
  <c r="C166" i="1" a="1"/>
  <c r="D74" i="1" a="1"/>
  <c r="AF55" i="1" a="1"/>
  <c r="C20" i="1" a="1"/>
  <c r="AF74" i="1" a="1"/>
  <c r="D20" i="1" a="1"/>
  <c r="AF54" i="1" a="1"/>
  <c r="Q185" i="1" a="1"/>
  <c r="Q183" i="1" a="1"/>
  <c r="Q157" i="1" a="1"/>
  <c r="AG72" i="1" a="1"/>
  <c r="D134" i="1" a="1"/>
  <c r="R105" i="1" a="1"/>
  <c r="AG103" i="1" a="1"/>
  <c r="D54" i="1" a="1"/>
  <c r="C161" i="1" a="1"/>
  <c r="Q101" i="1" a="1"/>
  <c r="R108" i="1" a="1"/>
  <c r="AF57" i="1" a="1"/>
  <c r="Q132" i="1" a="1"/>
  <c r="D71" i="1" a="1"/>
  <c r="Q107" i="1" a="1"/>
  <c r="Q109" i="1" a="1"/>
  <c r="AG77" i="1" a="1"/>
  <c r="D52" i="1" a="1"/>
  <c r="C137" i="1" a="1"/>
  <c r="Q104" i="1" a="1"/>
  <c r="C131" i="1" a="1"/>
  <c r="C186" i="1" a="1"/>
  <c r="Q163" i="1" a="1"/>
  <c r="C12" i="1" a="1"/>
  <c r="C101" i="1" a="1"/>
  <c r="Q135" i="1" a="1"/>
  <c r="Q137" i="1" a="1"/>
  <c r="AF102" i="1" a="1"/>
  <c r="D53" i="1" a="1"/>
  <c r="D107" i="1" a="1"/>
  <c r="AF80" i="1" a="1"/>
  <c r="Q133" i="1" a="1"/>
  <c r="Q60" i="1" a="1"/>
  <c r="C58" i="1" a="1"/>
  <c r="Q156" i="1" a="1"/>
  <c r="C179" i="1" a="1"/>
  <c r="AG76" i="1" a="1"/>
  <c r="Q54" i="1" a="1"/>
  <c r="Q53" i="1" a="1"/>
  <c r="AG107" i="1" a="1"/>
  <c r="R135" i="1" a="1"/>
  <c r="C77" i="1" a="1"/>
  <c r="D16" i="1" a="1"/>
  <c r="C76" i="1" a="1"/>
  <c r="AF106" i="1" a="1"/>
  <c r="D108" i="1" a="1"/>
  <c r="D78" i="1" a="1"/>
  <c r="Q180" i="1" a="1"/>
  <c r="D110" i="1" a="1"/>
  <c r="C139" i="1" a="1"/>
  <c r="AF78" i="1" a="1"/>
  <c r="Q165" i="1" a="1"/>
  <c r="R103" i="1" a="1"/>
  <c r="AF75" i="1" a="1"/>
  <c r="Q56" i="1" a="1"/>
  <c r="C136" i="1" a="1"/>
  <c r="Q140" i="1" a="1"/>
  <c r="AG71" i="1" a="1"/>
  <c r="AG102" i="1" a="1"/>
  <c r="C105" i="1" a="1"/>
  <c r="AF58" i="1" a="1"/>
  <c r="C110" i="1" a="1"/>
  <c r="Q166" i="1" a="1"/>
  <c r="C180" i="1" a="1"/>
  <c r="C189" i="1" a="1"/>
  <c r="Q189" i="1" a="1"/>
  <c r="D14" i="1" a="1"/>
  <c r="D57" i="1" a="1"/>
  <c r="Q108" i="1" a="1"/>
  <c r="C75" i="1" a="1"/>
  <c r="D51" i="1" a="1"/>
  <c r="H15" i="1" a="1"/>
  <c r="G15" i="1" a="1"/>
  <c r="H13" i="1" a="1"/>
  <c r="G13" i="1" a="1"/>
  <c r="C217" i="1" a="1"/>
  <c r="C216" i="1" a="1"/>
  <c r="C215" i="1" a="1"/>
  <c r="C214" i="1" a="1"/>
  <c r="C213" i="1" a="1"/>
  <c r="C212" i="1" a="1"/>
  <c r="C211" i="1" a="1"/>
  <c r="C210" i="1" a="1"/>
  <c r="C209" i="1" a="1"/>
  <c r="C208" i="1" a="1"/>
  <c r="C207" i="1" a="1"/>
  <c r="C232" i="1" l="1"/>
  <c r="C231" i="1"/>
  <c r="C230" i="1"/>
  <c r="C229" i="1"/>
  <c r="C228" i="1"/>
  <c r="C227" i="1"/>
  <c r="C226" i="1"/>
  <c r="C225" i="1"/>
  <c r="C224" i="1"/>
  <c r="C223" i="1"/>
  <c r="C222" i="1"/>
  <c r="C221" i="1"/>
  <c r="C206" i="1"/>
  <c r="H15" i="1"/>
  <c r="G15" i="1"/>
  <c r="H13" i="1"/>
  <c r="G13" i="1"/>
  <c r="C217" i="1"/>
  <c r="C216" i="1"/>
  <c r="C215" i="1"/>
  <c r="C214" i="1"/>
  <c r="C213" i="1"/>
  <c r="C212" i="1"/>
  <c r="C211" i="1"/>
  <c r="C210" i="1"/>
  <c r="C209" i="1"/>
  <c r="C208" i="1"/>
  <c r="C207" i="1"/>
  <c r="AG109" i="1"/>
  <c r="AG108" i="1"/>
  <c r="AG107" i="1"/>
  <c r="AG106" i="1"/>
  <c r="AG105" i="1"/>
  <c r="AG104" i="1"/>
  <c r="AG103" i="1"/>
  <c r="AG102" i="1"/>
  <c r="AG101" i="1"/>
  <c r="AG110" i="1"/>
  <c r="AF110" i="1"/>
  <c r="AF109" i="1"/>
  <c r="AF108" i="1"/>
  <c r="AF107" i="1"/>
  <c r="AF106" i="1"/>
  <c r="AF105" i="1"/>
  <c r="AF104" i="1"/>
  <c r="AF103" i="1"/>
  <c r="AF102" i="1"/>
  <c r="AF101" i="1"/>
  <c r="Q101" i="1"/>
  <c r="AG80" i="1"/>
  <c r="AG79" i="1"/>
  <c r="AG78" i="1"/>
  <c r="AG77" i="1"/>
  <c r="AG76" i="1"/>
  <c r="AG75" i="1"/>
  <c r="AG74" i="1"/>
  <c r="AG73" i="1"/>
  <c r="AG72" i="1"/>
  <c r="AG71" i="1"/>
  <c r="AF71" i="1"/>
  <c r="AF80" i="1"/>
  <c r="AF79" i="1"/>
  <c r="AF78" i="1"/>
  <c r="AF77" i="1"/>
  <c r="AF76" i="1"/>
  <c r="AF75" i="1"/>
  <c r="AF74" i="1"/>
  <c r="AF73" i="1"/>
  <c r="AF72" i="1"/>
  <c r="C101" i="1"/>
  <c r="AF60" i="1"/>
  <c r="AF59" i="1"/>
  <c r="AF58" i="1"/>
  <c r="AF57" i="1"/>
  <c r="AF56" i="1"/>
  <c r="AF55" i="1"/>
  <c r="AF54" i="1"/>
  <c r="AF53" i="1"/>
  <c r="AF52" i="1"/>
  <c r="AF51" i="1"/>
  <c r="Q71" i="1"/>
  <c r="Q190" i="1"/>
  <c r="Q189" i="1"/>
  <c r="Q188" i="1"/>
  <c r="Q187" i="1"/>
  <c r="Q186" i="1"/>
  <c r="Q185" i="1"/>
  <c r="Q184" i="1"/>
  <c r="Q183" i="1"/>
  <c r="Q182" i="1"/>
  <c r="Q181" i="1"/>
  <c r="Q180" i="1"/>
  <c r="Q156" i="1"/>
  <c r="Q179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56" i="1"/>
  <c r="C159" i="1"/>
  <c r="Q167" i="1"/>
  <c r="Q166" i="1"/>
  <c r="Q165" i="1"/>
  <c r="Q164" i="1"/>
  <c r="Q163" i="1"/>
  <c r="Q162" i="1"/>
  <c r="Q161" i="1"/>
  <c r="Q160" i="1"/>
  <c r="Q159" i="1"/>
  <c r="Q158" i="1"/>
  <c r="Q157" i="1"/>
  <c r="C167" i="1"/>
  <c r="C166" i="1"/>
  <c r="C165" i="1"/>
  <c r="C164" i="1"/>
  <c r="C163" i="1"/>
  <c r="C162" i="1"/>
  <c r="C161" i="1"/>
  <c r="C160" i="1"/>
  <c r="C158" i="1"/>
  <c r="C157" i="1"/>
  <c r="C132" i="1"/>
  <c r="D105" i="1"/>
  <c r="D60" i="1"/>
  <c r="D137" i="1"/>
  <c r="Q109" i="1"/>
  <c r="C131" i="1"/>
  <c r="D140" i="1"/>
  <c r="R102" i="1"/>
  <c r="C20" i="1"/>
  <c r="Q108" i="1"/>
  <c r="R138" i="1"/>
  <c r="R137" i="1"/>
  <c r="D139" i="1"/>
  <c r="C12" i="1"/>
  <c r="C78" i="1"/>
  <c r="Q51" i="1"/>
  <c r="C51" i="1"/>
  <c r="Q57" i="1"/>
  <c r="C138" i="1"/>
  <c r="R103" i="1"/>
  <c r="C102" i="1"/>
  <c r="Q73" i="1"/>
  <c r="C103" i="1"/>
  <c r="D16" i="1"/>
  <c r="D132" i="1"/>
  <c r="Q138" i="1"/>
  <c r="C76" i="1"/>
  <c r="D71" i="1"/>
  <c r="D74" i="1"/>
  <c r="D54" i="1"/>
  <c r="C135" i="1"/>
  <c r="Q102" i="1"/>
  <c r="Q131" i="1"/>
  <c r="R140" i="1"/>
  <c r="D135" i="1"/>
  <c r="R135" i="1"/>
  <c r="Q104" i="1"/>
  <c r="Q133" i="1"/>
  <c r="Q103" i="1"/>
  <c r="D57" i="1"/>
  <c r="D75" i="1"/>
  <c r="C59" i="1"/>
  <c r="D72" i="1"/>
  <c r="C108" i="1"/>
  <c r="C14" i="1"/>
  <c r="Q107" i="1"/>
  <c r="Q134" i="1"/>
  <c r="C105" i="1"/>
  <c r="C139" i="1"/>
  <c r="C107" i="1"/>
  <c r="D79" i="1"/>
  <c r="C79" i="1"/>
  <c r="C71" i="1"/>
  <c r="C54" i="1"/>
  <c r="Q139" i="1"/>
  <c r="R104" i="1"/>
  <c r="Q75" i="1"/>
  <c r="D136" i="1"/>
  <c r="C16" i="1"/>
  <c r="D19" i="1"/>
  <c r="D14" i="1"/>
  <c r="Q78" i="1"/>
  <c r="Q106" i="1"/>
  <c r="Q135" i="1"/>
  <c r="D106" i="1"/>
  <c r="C136" i="1"/>
  <c r="D108" i="1"/>
  <c r="D58" i="1"/>
  <c r="C80" i="1"/>
  <c r="Q56" i="1"/>
  <c r="Q58" i="1"/>
  <c r="D138" i="1"/>
  <c r="Q136" i="1"/>
  <c r="C137" i="1"/>
  <c r="R110" i="1"/>
  <c r="Q80" i="1"/>
  <c r="D109" i="1"/>
  <c r="C77" i="1"/>
  <c r="D51" i="1"/>
  <c r="D76" i="1"/>
  <c r="C75" i="1"/>
  <c r="C133" i="1"/>
  <c r="D131" i="1"/>
  <c r="R134" i="1"/>
  <c r="D110" i="1"/>
  <c r="Q76" i="1"/>
  <c r="D102" i="1"/>
  <c r="D107" i="1"/>
  <c r="R107" i="1"/>
  <c r="Q72" i="1"/>
  <c r="C134" i="1"/>
  <c r="R108" i="1"/>
  <c r="D103" i="1"/>
  <c r="R106" i="1"/>
  <c r="R132" i="1"/>
  <c r="C106" i="1"/>
  <c r="C73" i="1"/>
  <c r="C57" i="1"/>
  <c r="C52" i="1"/>
  <c r="Q53" i="1"/>
  <c r="D77" i="1"/>
  <c r="C104" i="1"/>
  <c r="D56" i="1"/>
  <c r="D52" i="1"/>
  <c r="D59" i="1"/>
  <c r="D73" i="1"/>
  <c r="Q59" i="1"/>
  <c r="Q105" i="1"/>
  <c r="D55" i="1"/>
  <c r="D104" i="1"/>
  <c r="C11" i="1"/>
  <c r="R133" i="1"/>
  <c r="D133" i="1"/>
  <c r="C55" i="1"/>
  <c r="D80" i="1"/>
  <c r="C72" i="1"/>
  <c r="C53" i="1"/>
  <c r="C18" i="1"/>
  <c r="C19" i="1"/>
  <c r="Q60" i="1"/>
  <c r="C110" i="1"/>
  <c r="Q140" i="1"/>
  <c r="C109" i="1"/>
  <c r="C17" i="1"/>
  <c r="R109" i="1"/>
  <c r="Q137" i="1"/>
  <c r="R136" i="1"/>
  <c r="D134" i="1"/>
  <c r="D20" i="1"/>
  <c r="Q54" i="1"/>
  <c r="C58" i="1"/>
  <c r="D53" i="1"/>
  <c r="C60" i="1"/>
  <c r="Q77" i="1"/>
  <c r="R131" i="1"/>
  <c r="C74" i="1"/>
  <c r="Q79" i="1"/>
  <c r="R101" i="1"/>
  <c r="C140" i="1"/>
  <c r="D101" i="1"/>
  <c r="Q110" i="1"/>
  <c r="Q132" i="1"/>
  <c r="Q74" i="1"/>
  <c r="R139" i="1"/>
  <c r="R105" i="1"/>
  <c r="D78" i="1"/>
  <c r="C56" i="1"/>
  <c r="Q52" i="1"/>
  <c r="Q5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<sst xmlns="http://schemas.openxmlformats.org/spreadsheetml/2006/main" count="71" uniqueCount="36">
  <si>
    <t>DONNÉES D'ENTRÉE</t>
  </si>
  <si>
    <t>PRIX SPOT</t>
  </si>
  <si>
    <t>PRIX D'EXERCICE</t>
  </si>
  <si>
    <t>TAUX D'INTÉRÊT</t>
  </si>
  <si>
    <t>VOLATILITÉ</t>
  </si>
  <si>
    <t>SORTIE</t>
  </si>
  <si>
    <t>CALL</t>
  </si>
  <si>
    <t>PUT</t>
  </si>
  <si>
    <t>D1</t>
  </si>
  <si>
    <t>D2</t>
  </si>
  <si>
    <t>PRIX DE L'OPTION</t>
  </si>
  <si>
    <t>DELTA</t>
  </si>
  <si>
    <t>GAMMA</t>
  </si>
  <si>
    <t>VEGA</t>
  </si>
  <si>
    <t>RHO</t>
  </si>
  <si>
    <t>PRIX CALL</t>
  </si>
  <si>
    <t>PRIX PUT</t>
  </si>
  <si>
    <t>DELTA CALL</t>
  </si>
  <si>
    <t>DELTA PUT</t>
  </si>
  <si>
    <t>THÉTA</t>
  </si>
  <si>
    <t>THÉTA CALL</t>
  </si>
  <si>
    <t>THÉTA PUT</t>
  </si>
  <si>
    <t>TEMPS À MATURITÉ</t>
  </si>
  <si>
    <t>RHO CALL</t>
  </si>
  <si>
    <t>RHO PUT</t>
  </si>
  <si>
    <t>SIGMA 0</t>
  </si>
  <si>
    <t>ALPHA</t>
  </si>
  <si>
    <t>BETA</t>
  </si>
  <si>
    <t>VOLATILITÉ LOCAL</t>
  </si>
  <si>
    <t>HEDGE</t>
  </si>
  <si>
    <t>DONNÉES DANS VOLATILITÉ LOCAL</t>
  </si>
  <si>
    <t>Pas deTemps</t>
  </si>
  <si>
    <t>Pas d'Espace</t>
  </si>
  <si>
    <t>Pas de Prix</t>
  </si>
  <si>
    <t>PRIX CALL VOL</t>
  </si>
  <si>
    <t>PRIX PUT 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</si>
</sst>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2" borderId="0" xfId="0" applyFont="1" applyFill="1" applyAlignment="1">
      <alignment horizontal="center"/>
    </xf>
    <xf numFmtId="0" fontId="0" fillId="2" borderId="0" xfId="0" applyFill="1"/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0" xfId="0" applyFont="1" applyFill="1"/>
    <xf numFmtId="0" fontId="1" fillId="6" borderId="4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4" fillId="7" borderId="26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2" fillId="5" borderId="3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/>
    </xf>
    <xf numFmtId="0" fontId="1" fillId="7" borderId="23" xfId="0" applyFont="1" applyFill="1" applyBorder="1" applyAlignment="1">
      <alignment horizontal="center"/>
    </xf>
    <xf numFmtId="0" fontId="2" fillId="2" borderId="0" xfId="0" applyFont="1" applyFill="1"/>
    <xf numFmtId="0" fontId="1" fillId="6" borderId="32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4" borderId="36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5" borderId="24" xfId="0" applyFont="1" applyFill="1" applyBorder="1" applyAlignment="1">
      <alignment horizontal="center"/>
    </xf>
    <xf numFmtId="0" fontId="2" fillId="5" borderId="25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Variation du Prix des Options Call et Put en Fonction du Prix Spot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Feuil1!$C$50</c:f>
              <c:strCache>
                <c:ptCount val="1"/>
                <c:pt idx="0">
                  <c:v>PRIX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Feuil1!$B$51:$B$60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Feuil1!$C$51:$C$60</c:f>
              <c:numCache>
                <c:formatCode>General</c:formatCode>
                <c:ptCount val="10"/>
                <c:pt idx="0">
                  <c:v>0.55407427721308034</c:v>
                </c:pt>
                <c:pt idx="1">
                  <c:v>2.9838661550896455</c:v>
                </c:pt>
                <c:pt idx="2">
                  <c:v>7.041630532296745</c:v>
                </c:pt>
                <c:pt idx="3">
                  <c:v>12.296822729014231</c:v>
                </c:pt>
                <c:pt idx="4">
                  <c:v>18.436589732149386</c:v>
                </c:pt>
                <c:pt idx="5">
                  <c:v>25.243939536012228</c:v>
                </c:pt>
                <c:pt idx="6">
                  <c:v>32.56617950696743</c:v>
                </c:pt>
                <c:pt idx="7">
                  <c:v>40.293313413511513</c:v>
                </c:pt>
                <c:pt idx="8">
                  <c:v>48.344245695602993</c:v>
                </c:pt>
                <c:pt idx="9">
                  <c:v>56.657923412756148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B-485D-B666-4DAE5ABC92AE}"/>
            </c:ext>
          </c:extLst>
        </c:ser>
        <c:ser>
          <c:idx val="1"/>
          <c:order val="1"/>
          <c:tx>
            <c:strRef>
              <c:f>Feuil1!$D$50</c:f>
              <c:strCache>
                <c:ptCount val="1"/>
                <c:pt idx="0">
                  <c:v>PRIX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Feuil1!$B$51:$B$60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Feuil1!$D$51:$D$60</c:f>
              <c:numCache>
                <c:formatCode>General</c:formatCode>
                <c:ptCount val="10"/>
                <c:pt idx="0">
                  <c:v>51.207140248476421</c:v>
                </c:pt>
                <c:pt idx="1">
                  <c:v>43.636932126352995</c:v>
                </c:pt>
                <c:pt idx="2">
                  <c:v>37.694696503560088</c:v>
                </c:pt>
                <c:pt idx="3">
                  <c:v>32.949888700277576</c:v>
                </c:pt>
                <c:pt idx="4">
                  <c:v>29.089655703412738</c:v>
                </c:pt>
                <c:pt idx="5">
                  <c:v>25.897005507275573</c:v>
                </c:pt>
                <c:pt idx="6">
                  <c:v>23.219245478230778</c:v>
                </c:pt>
                <c:pt idx="7">
                  <c:v>20.946379384774861</c:v>
                </c:pt>
                <c:pt idx="8">
                  <c:v>18.997311666866334</c:v>
                </c:pt>
                <c:pt idx="9">
                  <c:v>17.310989384019507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B-485D-B666-4DAE5ABC9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2404672"/>
        <c:axId val="1382405152"/>
      </c:lineChart>
      <c:catAx>
        <c:axId val="138240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2405152"/>
        <c:crosses val="autoZero"/>
        <c:auto val="1"/>
        <c:lblAlgn val="ctr"/>
        <c:lblOffset val="100"/>
        <c:noMultiLvlLbl val="0"/>
      </c:catAx>
      <c:valAx>
        <c:axId val="138240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24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u="none" strike="noStrike" baseline="0"/>
              <a:t>Variation du Delta des Options Call et Put en Fonction du Prix Spot</a:t>
            </a:r>
            <a:endParaRPr lang="fr-FR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Feuil1!$C$70</c:f>
              <c:strCache>
                <c:ptCount val="1"/>
                <c:pt idx="0">
                  <c:v>DELTA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Feuil1!$B$71:$B$80</c:f>
              <c:numCache>
                <c:formatCode>General</c:formatCode>
                <c:ptCount val="10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160</c:v>
                </c:pt>
              </c:numCache>
            </c:numRef>
          </c:cat>
          <c:val>
            <c:numRef>
              <c:f>Feuil1!$C$71:$C$80</c:f>
              <c:numCache>
                <c:formatCode>General</c:formatCode>
                <c:ptCount val="10"/>
                <c:pt idx="0">
                  <c:v>0.70861196070946608</c:v>
                </c:pt>
                <c:pt idx="1">
                  <c:v>0.7540250570445628</c:v>
                </c:pt>
                <c:pt idx="2">
                  <c:v>0.79006445993164398</c:v>
                </c:pt>
                <c:pt idx="3">
                  <c:v>0.81911387240737554</c:v>
                </c:pt>
                <c:pt idx="4">
                  <c:v>0.8428476697630729</c:v>
                </c:pt>
                <c:pt idx="5">
                  <c:v>0.86246882972183214</c:v>
                </c:pt>
                <c:pt idx="6">
                  <c:v>0.87885940341193858</c:v>
                </c:pt>
                <c:pt idx="7">
                  <c:v>0.89267797416580585</c:v>
                </c:pt>
                <c:pt idx="8">
                  <c:v>0.90442429296136029</c:v>
                </c:pt>
                <c:pt idx="9">
                  <c:v>0.92315449550143924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9C-4921-9412-27EA99AC8F08}"/>
            </c:ext>
          </c:extLst>
        </c:ser>
        <c:ser>
          <c:idx val="1"/>
          <c:order val="1"/>
          <c:tx>
            <c:strRef>
              <c:f>Feuil1!$D$70</c:f>
              <c:strCache>
                <c:ptCount val="1"/>
                <c:pt idx="0">
                  <c:v>DELTA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Feuil1!$B$71:$B$80</c:f>
              <c:numCache>
                <c:formatCode>General</c:formatCode>
                <c:ptCount val="10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160</c:v>
                </c:pt>
              </c:numCache>
            </c:numRef>
          </c:cat>
          <c:val>
            <c:numRef>
              <c:f>Feuil1!$D$71:$D$80</c:f>
              <c:numCache>
                <c:formatCode>General</c:formatCode>
                <c:ptCount val="10"/>
                <c:pt idx="0">
                  <c:v>-0.29138803929053392</c:v>
                </c:pt>
                <c:pt idx="1">
                  <c:v>-0.2459749429554372</c:v>
                </c:pt>
                <c:pt idx="2">
                  <c:v>-0.20993554006835602</c:v>
                </c:pt>
                <c:pt idx="3">
                  <c:v>-0.18088612759262446</c:v>
                </c:pt>
                <c:pt idx="4">
                  <c:v>-0.1571523302369271</c:v>
                </c:pt>
                <c:pt idx="5">
                  <c:v>-0.13753117027816786</c:v>
                </c:pt>
                <c:pt idx="6">
                  <c:v>-0.12114059658806142</c:v>
                </c:pt>
                <c:pt idx="7">
                  <c:v>-0.10732202583419415</c:v>
                </c:pt>
                <c:pt idx="8">
                  <c:v>-9.5575707038639712E-2</c:v>
                </c:pt>
                <c:pt idx="9">
                  <c:v>-7.6845504498560757E-2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9C-4921-9412-27EA99AC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2104752"/>
        <c:axId val="1082105232"/>
      </c:lineChart>
      <c:catAx>
        <c:axId val="108210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2105232"/>
        <c:crosses val="autoZero"/>
        <c:auto val="1"/>
        <c:lblAlgn val="ctr"/>
        <c:lblOffset val="100"/>
        <c:noMultiLvlLbl val="0"/>
      </c:catAx>
      <c:valAx>
        <c:axId val="108210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210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Variation du Gamma en Fonction du Prix Spot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Feuil1!$Q$50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Feuil1!$P$51:$P$60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Feuil1!$Q$51:$Q$60</c:f>
              <c:numCache>
                <c:formatCode>General</c:formatCode>
                <c:ptCount val="10"/>
                <c:pt idx="0">
                  <c:v>2.049082482882273E-2</c:v>
                </c:pt>
                <c:pt idx="1">
                  <c:v>1.6242652621620859E-2</c:v>
                </c:pt>
                <c:pt idx="2">
                  <c:v>1.1864525611678053E-2</c:v>
                </c:pt>
                <c:pt idx="3">
                  <c:v>8.7665355362871577E-3</c:v>
                </c:pt>
                <c:pt idx="4">
                  <c:v>6.623495300540354E-3</c:v>
                </c:pt>
                <c:pt idx="5">
                  <c:v>5.1141762583785015E-3</c:v>
                </c:pt>
                <c:pt idx="6">
                  <c:v>4.025384246819615E-3</c:v>
                </c:pt>
                <c:pt idx="7">
                  <c:v>3.2216070336525786E-3</c:v>
                </c:pt>
                <c:pt idx="8">
                  <c:v>2.6157985626322896E-3</c:v>
                </c:pt>
                <c:pt idx="9">
                  <c:v>2.1507675622637508E-3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61-4DF6-856B-AAD4BF744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339360"/>
        <c:axId val="1088339840"/>
      </c:lineChart>
      <c:catAx>
        <c:axId val="108833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339840"/>
        <c:crosses val="autoZero"/>
        <c:auto val="1"/>
        <c:lblAlgn val="ctr"/>
        <c:lblOffset val="100"/>
        <c:noMultiLvlLbl val="0"/>
      </c:catAx>
      <c:valAx>
        <c:axId val="108833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33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Variation du Vega en Fonction de la Volatilité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Feuil1!$Q$70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Feuil1!$P$71:$P$80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Feuil1!$Q$71:$Q$80</c:f>
              <c:numCache>
                <c:formatCode>General</c:formatCode>
                <c:ptCount val="10"/>
                <c:pt idx="0">
                  <c:v>13.799289773536414</c:v>
                </c:pt>
                <c:pt idx="1">
                  <c:v>43.550428593702883</c:v>
                </c:pt>
                <c:pt idx="2">
                  <c:v>52.403613468954489</c:v>
                </c:pt>
                <c:pt idx="3">
                  <c:v>54.105327148050144</c:v>
                </c:pt>
                <c:pt idx="4">
                  <c:v>52.969920893303865</c:v>
                </c:pt>
                <c:pt idx="5">
                  <c:v>50.400905966865857</c:v>
                </c:pt>
                <c:pt idx="6">
                  <c:v>47.004183663476311</c:v>
                </c:pt>
                <c:pt idx="7">
                  <c:v>43.117800900041942</c:v>
                </c:pt>
                <c:pt idx="8">
                  <c:v>38.97004019756487</c:v>
                </c:pt>
                <c:pt idx="9">
                  <c:v>34.733211011786807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1-495E-9397-8675F28BC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080080"/>
        <c:axId val="186081040"/>
      </c:lineChart>
      <c:catAx>
        <c:axId val="18608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6081040"/>
        <c:crosses val="autoZero"/>
        <c:auto val="1"/>
        <c:lblAlgn val="ctr"/>
        <c:lblOffset val="100"/>
        <c:noMultiLvlLbl val="0"/>
      </c:catAx>
      <c:valAx>
        <c:axId val="18608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608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u="none" strike="noStrike" baseline="0"/>
              <a:t>Variation du Theta des Options Call et Put en Fonction du Temps à Maturité</a:t>
            </a:r>
            <a:endParaRPr lang="fr-FR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Feuil1!$C$100</c:f>
              <c:strCache>
                <c:ptCount val="1"/>
                <c:pt idx="0">
                  <c:v>THÉTA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Feuil1!$B$101:$B$110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Feuil1!$C$101:$C$110</c:f>
              <c:numCache>
                <c:formatCode>General</c:formatCode>
                <c:ptCount val="10"/>
                <c:pt idx="0">
                  <c:v>-12.316477314097126</c:v>
                </c:pt>
                <c:pt idx="1">
                  <c:v>-9.0180400658366384</c:v>
                </c:pt>
                <c:pt idx="2">
                  <c:v>-7.2672963975959108</c:v>
                </c:pt>
                <c:pt idx="3">
                  <c:v>-6.0792519398093177</c:v>
                </c:pt>
                <c:pt idx="4">
                  <c:v>-5.1860963267712741</c:v>
                </c:pt>
                <c:pt idx="5">
                  <c:v>-4.4773853628464053</c:v>
                </c:pt>
                <c:pt idx="6">
                  <c:v>-3.8965727758099664</c:v>
                </c:pt>
                <c:pt idx="7">
                  <c:v>-3.4104861867606786</c:v>
                </c:pt>
                <c:pt idx="8">
                  <c:v>-2.9977517545405705</c:v>
                </c:pt>
                <c:pt idx="9">
                  <c:v>-2.6436284055262398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5D-4EF2-8472-05245FA5275F}"/>
            </c:ext>
          </c:extLst>
        </c:ser>
        <c:ser>
          <c:idx val="1"/>
          <c:order val="1"/>
          <c:tx>
            <c:strRef>
              <c:f>Feuil1!$D$100</c:f>
              <c:strCache>
                <c:ptCount val="1"/>
                <c:pt idx="0">
                  <c:v>THÉTA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Feuil1!$B$101:$B$110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Feuil1!$D$101:$D$110</c:f>
              <c:numCache>
                <c:formatCode>General</c:formatCode>
                <c:ptCount val="10"/>
                <c:pt idx="0">
                  <c:v>-3.2681031337375313</c:v>
                </c:pt>
                <c:pt idx="1">
                  <c:v>-0.83073253505681954</c:v>
                </c:pt>
                <c:pt idx="2">
                  <c:v>0.1408858092212677</c:v>
                </c:pt>
                <c:pt idx="3">
                  <c:v>0.62394852054707561</c:v>
                </c:pt>
                <c:pt idx="4">
                  <c:v>0.87921027035506016</c:v>
                </c:pt>
                <c:pt idx="5">
                  <c:v>1.0107309980938588</c:v>
                </c:pt>
                <c:pt idx="6">
                  <c:v>1.0692802621041286</c:v>
                </c:pt>
                <c:pt idx="7">
                  <c:v>1.0828034544115375</c:v>
                </c:pt>
                <c:pt idx="8">
                  <c:v>1.067944842865421</c:v>
                </c:pt>
                <c:pt idx="9">
                  <c:v>1.0351660061881833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5D-4EF2-8472-05245FA52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653648"/>
        <c:axId val="282650288"/>
      </c:lineChart>
      <c:catAx>
        <c:axId val="28265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2650288"/>
        <c:crosses val="autoZero"/>
        <c:auto val="1"/>
        <c:lblAlgn val="ctr"/>
        <c:lblOffset val="100"/>
        <c:noMultiLvlLbl val="0"/>
      </c:catAx>
      <c:valAx>
        <c:axId val="28265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265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Variation du Rho des Options Call et Put en Fonction du Taux d'Intérêt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Feuil1!$Q$100</c:f>
              <c:strCache>
                <c:ptCount val="1"/>
                <c:pt idx="0">
                  <c:v>RHO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Feuil1!$P$101:$P$110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Feuil1!$Q$101:$Q$110</c:f>
              <c:numCache>
                <c:formatCode>General</c:formatCode>
                <c:ptCount val="10"/>
                <c:pt idx="0">
                  <c:v>126.88001410530404</c:v>
                </c:pt>
                <c:pt idx="1">
                  <c:v>109.49737288073679</c:v>
                </c:pt>
                <c:pt idx="2">
                  <c:v>84.164170144812402</c:v>
                </c:pt>
                <c:pt idx="3">
                  <c:v>59.001988895939299</c:v>
                </c:pt>
                <c:pt idx="4">
                  <c:v>38.714077485821392</c:v>
                </c:pt>
                <c:pt idx="5">
                  <c:v>24.366366703488886</c:v>
                </c:pt>
                <c:pt idx="6">
                  <c:v>14.998736472601264</c:v>
                </c:pt>
                <c:pt idx="7">
                  <c:v>9.1420194325757151</c:v>
                </c:pt>
                <c:pt idx="8">
                  <c:v>5.5524232629847567</c:v>
                </c:pt>
                <c:pt idx="9">
                  <c:v>3.3687476805240752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D-4236-96DB-4440B9899F24}"/>
            </c:ext>
          </c:extLst>
        </c:ser>
        <c:ser>
          <c:idx val="1"/>
          <c:order val="1"/>
          <c:tx>
            <c:strRef>
              <c:f>Feuil1!$R$100</c:f>
              <c:strCache>
                <c:ptCount val="1"/>
                <c:pt idx="0">
                  <c:v>RHO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Feuil1!$P$101:$P$110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Feuil1!$R$101:$R$110</c:f>
              <c:numCache>
                <c:formatCode>General</c:formatCode>
                <c:ptCount val="10"/>
                <c:pt idx="0">
                  <c:v>-176.38531575101268</c:v>
                </c:pt>
                <c:pt idx="1">
                  <c:v>-74.442347704984385</c:v>
                </c:pt>
                <c:pt idx="2">
                  <c:v>-27.400909929402502</c:v>
                </c:pt>
                <c:pt idx="3">
                  <c:v>-8.6656527223670565</c:v>
                </c:pt>
                <c:pt idx="4">
                  <c:v>-2.3284218261280056</c:v>
                </c:pt>
                <c:pt idx="5">
                  <c:v>-0.5271674804430917</c:v>
                </c:pt>
                <c:pt idx="6">
                  <c:v>-9.9955238557987547E-2</c:v>
                </c:pt>
                <c:pt idx="7">
                  <c:v>-1.5800011791374222E-2</c:v>
                </c:pt>
                <c:pt idx="8">
                  <c:v>-2.0750061363955887E-3</c:v>
                </c:pt>
                <c:pt idx="9">
                  <c:v>-2.2581901865797373E-4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D-4236-96DB-4440B9899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667232"/>
        <c:axId val="1708667712"/>
      </c:lineChart>
      <c:catAx>
        <c:axId val="170866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8667712"/>
        <c:crosses val="autoZero"/>
        <c:auto val="1"/>
        <c:lblAlgn val="ctr"/>
        <c:lblOffset val="100"/>
        <c:noMultiLvlLbl val="0"/>
      </c:catAx>
      <c:valAx>
        <c:axId val="170866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866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Impact de la Volatilité sur le Prix des Options Call et Put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Feuil1!$C$130</c:f>
              <c:strCache>
                <c:ptCount val="1"/>
                <c:pt idx="0">
                  <c:v>PRIX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Feuil1!$B$131:$B$140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Feuil1!$C$131:$C$140</c:f>
              <c:numCache>
                <c:formatCode>General</c:formatCode>
                <c:ptCount val="10"/>
                <c:pt idx="0">
                  <c:v>29.603227984978972</c:v>
                </c:pt>
                <c:pt idx="1">
                  <c:v>32.721771411100057</c:v>
                </c:pt>
                <c:pt idx="2">
                  <c:v>37.615201897401732</c:v>
                </c:pt>
                <c:pt idx="3">
                  <c:v>42.974653378949483</c:v>
                </c:pt>
                <c:pt idx="4">
                  <c:v>48.344245695602993</c:v>
                </c:pt>
                <c:pt idx="5">
                  <c:v>53.521590149448038</c:v>
                </c:pt>
                <c:pt idx="6">
                  <c:v>58.397097373238807</c:v>
                </c:pt>
                <c:pt idx="7">
                  <c:v>62.90621576496364</c:v>
                </c:pt>
                <c:pt idx="8">
                  <c:v>67.012003374608767</c:v>
                </c:pt>
                <c:pt idx="9">
                  <c:v>70.697293705159211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C-463F-BD1C-FE238EDDEA6D}"/>
            </c:ext>
          </c:extLst>
        </c:ser>
        <c:ser>
          <c:idx val="1"/>
          <c:order val="1"/>
          <c:tx>
            <c:strRef>
              <c:f>Feuil1!$D$130</c:f>
              <c:strCache>
                <c:ptCount val="1"/>
                <c:pt idx="0">
                  <c:v>PRIX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Feuil1!$B$131:$B$140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Feuil1!$D$131:$D$140</c:f>
              <c:numCache>
                <c:formatCode>General</c:formatCode>
                <c:ptCount val="10"/>
                <c:pt idx="0">
                  <c:v>0.25629395624230611</c:v>
                </c:pt>
                <c:pt idx="1">
                  <c:v>3.3748373823634061</c:v>
                </c:pt>
                <c:pt idx="2">
                  <c:v>8.2682678686650632</c:v>
                </c:pt>
                <c:pt idx="3">
                  <c:v>13.627719350212821</c:v>
                </c:pt>
                <c:pt idx="4">
                  <c:v>18.997311666866334</c:v>
                </c:pt>
                <c:pt idx="5">
                  <c:v>24.174656120711369</c:v>
                </c:pt>
                <c:pt idx="6">
                  <c:v>29.050163344502153</c:v>
                </c:pt>
                <c:pt idx="7">
                  <c:v>33.559281736226993</c:v>
                </c:pt>
                <c:pt idx="8">
                  <c:v>37.665069345872098</c:v>
                </c:pt>
                <c:pt idx="9">
                  <c:v>41.350359676422542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DC-463F-BD1C-FE238EDDE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81008"/>
        <c:axId val="175697168"/>
      </c:lineChart>
      <c:catAx>
        <c:axId val="1744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697168"/>
        <c:crosses val="autoZero"/>
        <c:auto val="1"/>
        <c:lblAlgn val="ctr"/>
        <c:lblOffset val="100"/>
        <c:noMultiLvlLbl val="0"/>
      </c:catAx>
      <c:valAx>
        <c:axId val="1756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48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Impact du Prix d'exercice sur le Prix des Options Call et Put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Feuil1!$Q$130</c:f>
              <c:strCache>
                <c:ptCount val="1"/>
                <c:pt idx="0">
                  <c:v>PRIX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Feuil1!$P$131:$P$140</c:f>
              <c:numCache>
                <c:formatCode>General</c:formatCode>
                <c:ptCount val="10"/>
                <c:pt idx="0">
                  <c:v>10</c:v>
                </c:pt>
                <c:pt idx="1">
                  <c:v>50</c:v>
                </c:pt>
                <c:pt idx="2">
                  <c:v>80</c:v>
                </c:pt>
                <c:pt idx="3">
                  <c:v>120</c:v>
                </c:pt>
                <c:pt idx="4">
                  <c:v>160</c:v>
                </c:pt>
                <c:pt idx="5">
                  <c:v>200</c:v>
                </c:pt>
                <c:pt idx="6">
                  <c:v>240</c:v>
                </c:pt>
                <c:pt idx="7">
                  <c:v>280</c:v>
                </c:pt>
                <c:pt idx="8">
                  <c:v>300</c:v>
                </c:pt>
                <c:pt idx="9">
                  <c:v>350</c:v>
                </c:pt>
              </c:numCache>
            </c:numRef>
          </c:cat>
          <c:val>
            <c:numRef>
              <c:f>Feuil1!$Q$131:$Q$140</c:f>
              <c:numCache>
                <c:formatCode>General</c:formatCode>
                <c:ptCount val="10"/>
                <c:pt idx="0">
                  <c:v>83.99486697958865</c:v>
                </c:pt>
                <c:pt idx="1">
                  <c:v>64.319283900202592</c:v>
                </c:pt>
                <c:pt idx="2">
                  <c:v>53.879361946017468</c:v>
                </c:pt>
                <c:pt idx="3">
                  <c:v>43.661709885264315</c:v>
                </c:pt>
                <c:pt idx="4">
                  <c:v>36.198009835415576</c:v>
                </c:pt>
                <c:pt idx="5">
                  <c:v>30.543049794367903</c:v>
                </c:pt>
                <c:pt idx="6">
                  <c:v>26.135505605519651</c:v>
                </c:pt>
                <c:pt idx="7">
                  <c:v>22.622232488482943</c:v>
                </c:pt>
                <c:pt idx="8">
                  <c:v>21.124891596890233</c:v>
                </c:pt>
                <c:pt idx="9">
                  <c:v>17.967088506308258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6B-4875-86A7-82401A82DEA6}"/>
            </c:ext>
          </c:extLst>
        </c:ser>
        <c:ser>
          <c:idx val="1"/>
          <c:order val="1"/>
          <c:tx>
            <c:strRef>
              <c:f>Feuil1!$R$130</c:f>
              <c:strCache>
                <c:ptCount val="1"/>
                <c:pt idx="0">
                  <c:v>PRIX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Feuil1!$P$131:$P$140</c:f>
              <c:numCache>
                <c:formatCode>General</c:formatCode>
                <c:ptCount val="10"/>
                <c:pt idx="0">
                  <c:v>10</c:v>
                </c:pt>
                <c:pt idx="1">
                  <c:v>50</c:v>
                </c:pt>
                <c:pt idx="2">
                  <c:v>80</c:v>
                </c:pt>
                <c:pt idx="3">
                  <c:v>120</c:v>
                </c:pt>
                <c:pt idx="4">
                  <c:v>160</c:v>
                </c:pt>
                <c:pt idx="5">
                  <c:v>200</c:v>
                </c:pt>
                <c:pt idx="6">
                  <c:v>240</c:v>
                </c:pt>
                <c:pt idx="7">
                  <c:v>280</c:v>
                </c:pt>
                <c:pt idx="8">
                  <c:v>300</c:v>
                </c:pt>
                <c:pt idx="9">
                  <c:v>350</c:v>
                </c:pt>
              </c:numCache>
            </c:numRef>
          </c:cat>
          <c:val>
            <c:numRef>
              <c:f>Feuil1!$R$131:$R$140</c:f>
              <c:numCache>
                <c:formatCode>General</c:formatCode>
                <c:ptCount val="10"/>
                <c:pt idx="0">
                  <c:v>6.0173576714982913E-2</c:v>
                </c:pt>
                <c:pt idx="1">
                  <c:v>4.6458168858342637</c:v>
                </c:pt>
                <c:pt idx="2">
                  <c:v>12.401814723028135</c:v>
                </c:pt>
                <c:pt idx="3">
                  <c:v>26.445389050780314</c:v>
                </c:pt>
                <c:pt idx="4">
                  <c:v>43.242915389436902</c:v>
                </c:pt>
                <c:pt idx="5">
                  <c:v>61.8491817368946</c:v>
                </c:pt>
                <c:pt idx="6">
                  <c:v>81.702863936551651</c:v>
                </c:pt>
                <c:pt idx="7">
                  <c:v>102.45081720802031</c:v>
                </c:pt>
                <c:pt idx="8">
                  <c:v>113.08408951068026</c:v>
                </c:pt>
                <c:pt idx="9">
                  <c:v>140.25281940572998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6B-4875-86A7-82401A82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257024"/>
        <c:axId val="288256064"/>
      </c:lineChart>
      <c:catAx>
        <c:axId val="2882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8256064"/>
        <c:crosses val="autoZero"/>
        <c:auto val="1"/>
        <c:lblAlgn val="ctr"/>
        <c:lblOffset val="100"/>
        <c:noMultiLvlLbl val="0"/>
      </c:catAx>
      <c:valAx>
        <c:axId val="2882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825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Prix</a:t>
            </a:r>
            <a:r>
              <a:rPr lang="en-US" baseline="0"/>
              <a:t> du Call en fonction du Spot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Feuil1!$C$155</c:f>
              <c:strCache>
                <c:ptCount val="1"/>
                <c:pt idx="0">
                  <c:v>PRIX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Feuil1!$B$156:$B$167</c:f>
              <c:numCache>
                <c:formatCode>General</c:formatCode>
                <c:ptCount val="12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200</c:v>
                </c:pt>
              </c:numCache>
            </c:numRef>
          </c:xVal>
          <c:yVal>
            <c:numRef>
              <c:f>Feuil1!$C$156:$C$167</c:f>
              <c:numCache>
                <c:formatCode>General</c:formatCode>
                <c:ptCount val="12"/>
                <c:pt idx="0">
                  <c:v>0.55407427721308034</c:v>
                </c:pt>
                <c:pt idx="1">
                  <c:v>7.041630532296745</c:v>
                </c:pt>
                <c:pt idx="2">
                  <c:v>18.436589732149386</c:v>
                </c:pt>
                <c:pt idx="3">
                  <c:v>32.56617950696743</c:v>
                </c:pt>
                <c:pt idx="4">
                  <c:v>48.344245695602993</c:v>
                </c:pt>
                <c:pt idx="5">
                  <c:v>56.657923412756148</c:v>
                </c:pt>
                <c:pt idx="6">
                  <c:v>65.18752528432293</c:v>
                </c:pt>
                <c:pt idx="7">
                  <c:v>82.756157391310595</c:v>
                </c:pt>
                <c:pt idx="8">
                  <c:v>100.83902752940247</c:v>
                </c:pt>
                <c:pt idx="9">
                  <c:v>119.29828726703855</c:v>
                </c:pt>
                <c:pt idx="10">
                  <c:v>138.04027556960671</c:v>
                </c:pt>
                <c:pt idx="11">
                  <c:v>147.49595182782889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49-4C2A-ADC5-DCE34FF3F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408735"/>
        <c:axId val="781420735"/>
      </c:scatterChart>
      <c:valAx>
        <c:axId val="781408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20735"/>
        <c:crosses val="autoZero"/>
        <c:crossBetween val="midCat"/>
      </c:valAx>
      <c:valAx>
        <c:axId val="78142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0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Prix</a:t>
            </a:r>
            <a:r>
              <a:rPr lang="en-US" baseline="0"/>
              <a:t> du Put en fonction du Spot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Feuil1!$Q$155</c:f>
              <c:strCache>
                <c:ptCount val="1"/>
                <c:pt idx="0">
                  <c:v>PRIX PUT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Feuil1!$P$156:$P$167</c:f>
              <c:numCache>
                <c:formatCode>General</c:formatCode>
                <c:ptCount val="12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200</c:v>
                </c:pt>
              </c:numCache>
            </c:numRef>
          </c:xVal>
          <c:yVal>
            <c:numRef>
              <c:f>Feuil1!$Q$156:$Q$167</c:f>
              <c:numCache>
                <c:formatCode>General</c:formatCode>
                <c:ptCount val="12"/>
                <c:pt idx="0">
                  <c:v>51.207140248476421</c:v>
                </c:pt>
                <c:pt idx="1">
                  <c:v>37.694696503560088</c:v>
                </c:pt>
                <c:pt idx="2">
                  <c:v>29.089655703412738</c:v>
                </c:pt>
                <c:pt idx="3">
                  <c:v>23.219245478230778</c:v>
                </c:pt>
                <c:pt idx="4">
                  <c:v>18.997311666866334</c:v>
                </c:pt>
                <c:pt idx="5">
                  <c:v>17.310989384019507</c:v>
                </c:pt>
                <c:pt idx="6">
                  <c:v>15.840591255586272</c:v>
                </c:pt>
                <c:pt idx="7">
                  <c:v>13.40922336257394</c:v>
                </c:pt>
                <c:pt idx="8">
                  <c:v>11.492093500665826</c:v>
                </c:pt>
                <c:pt idx="9">
                  <c:v>9.9513532383018894</c:v>
                </c:pt>
                <c:pt idx="10">
                  <c:v>8.6933415408700849</c:v>
                </c:pt>
                <c:pt idx="11">
                  <c:v>8.1490177990922152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4E-4F22-AA01-0DADEDA91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437055"/>
        <c:axId val="781437535"/>
      </c:scatterChart>
      <c:valAx>
        <c:axId val="78143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37535"/>
        <c:crosses val="autoZero"/>
        <c:crossBetween val="midCat"/>
      </c:valAx>
      <c:valAx>
        <c:axId val="78143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3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</a:t>
            </a:r>
            <a:r>
              <a:rPr lang="fr-FR" baseline="0"/>
              <a:t> du Call en fonction du Strike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Feuil1!$C$178</c:f>
              <c:strCache>
                <c:ptCount val="1"/>
                <c:pt idx="0">
                  <c:v>PRIX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Feuil1!$B$179:$B$190</c:f>
              <c:numCache>
                <c:formatCode>General</c:formatCode>
                <c:ptCount val="12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200</c:v>
                </c:pt>
              </c:numCache>
            </c:numRef>
          </c:xVal>
          <c:yVal>
            <c:numRef>
              <c:f>Feuil1!$C$179:$C$190</c:f>
              <c:numCache>
                <c:formatCode>General</c:formatCode>
                <c:ptCount val="12"/>
                <c:pt idx="0">
                  <c:v>83.99486697958865</c:v>
                </c:pt>
                <c:pt idx="1">
                  <c:v>73.194074869998431</c:v>
                </c:pt>
                <c:pt idx="2">
                  <c:v>64.319283900202592</c:v>
                </c:pt>
                <c:pt idx="3">
                  <c:v>57.037547121474844</c:v>
                </c:pt>
                <c:pt idx="4">
                  <c:v>50.992131071480543</c:v>
                </c:pt>
                <c:pt idx="5">
                  <c:v>48.344245695602993</c:v>
                </c:pt>
                <c:pt idx="6">
                  <c:v>45.908555718763481</c:v>
                </c:pt>
                <c:pt idx="7">
                  <c:v>41.583565737328406</c:v>
                </c:pt>
                <c:pt idx="8">
                  <c:v>37.865909304018331</c:v>
                </c:pt>
                <c:pt idx="9">
                  <c:v>34.641393511878725</c:v>
                </c:pt>
                <c:pt idx="10">
                  <c:v>31.822407577474912</c:v>
                </c:pt>
                <c:pt idx="11">
                  <c:v>30.543049794367903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9F-4FC9-B0D8-231BF8B7F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902991"/>
        <c:axId val="683916911"/>
      </c:scatterChart>
      <c:valAx>
        <c:axId val="683902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3916911"/>
        <c:crosses val="autoZero"/>
        <c:crossBetween val="midCat"/>
      </c:valAx>
      <c:valAx>
        <c:axId val="68391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390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</a:t>
            </a:r>
            <a:r>
              <a:rPr lang="fr-FR" baseline="0"/>
              <a:t> du Put en fonction du Strike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Feuil1!$Q$178</c:f>
              <c:strCache>
                <c:ptCount val="1"/>
                <c:pt idx="0">
                  <c:v>PRIX PUT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Feuil1!$P$179:$P$190</c:f>
              <c:numCache>
                <c:formatCode>General</c:formatCode>
                <c:ptCount val="12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200</c:v>
                </c:pt>
              </c:numCache>
            </c:numRef>
          </c:xVal>
          <c:yVal>
            <c:numRef>
              <c:f>Feuil1!$Q$179:$Q$190</c:f>
              <c:numCache>
                <c:formatCode>General</c:formatCode>
                <c:ptCount val="12"/>
                <c:pt idx="0">
                  <c:v>6.0173576714982913E-2</c:v>
                </c:pt>
                <c:pt idx="1">
                  <c:v>1.3899946613774286</c:v>
                </c:pt>
                <c:pt idx="2">
                  <c:v>4.6458168858342637</c:v>
                </c:pt>
                <c:pt idx="3">
                  <c:v>9.4946933013591934</c:v>
                </c:pt>
                <c:pt idx="4">
                  <c:v>15.579890445617551</c:v>
                </c:pt>
                <c:pt idx="5">
                  <c:v>18.997311666866334</c:v>
                </c:pt>
                <c:pt idx="6">
                  <c:v>22.626928287153163</c:v>
                </c:pt>
                <c:pt idx="7">
                  <c:v>30.432551499970749</c:v>
                </c:pt>
                <c:pt idx="8">
                  <c:v>38.845508260913363</c:v>
                </c:pt>
                <c:pt idx="9">
                  <c:v>47.75160566302641</c:v>
                </c:pt>
                <c:pt idx="10">
                  <c:v>57.063232922875265</c:v>
                </c:pt>
                <c:pt idx="11">
                  <c:v>61.8491817368946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3-4EA0-8723-AFBB5B67B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421695"/>
        <c:axId val="781406815"/>
      </c:scatterChart>
      <c:valAx>
        <c:axId val="781421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06815"/>
        <c:crosses val="autoZero"/>
        <c:crossBetween val="midCat"/>
      </c:valAx>
      <c:valAx>
        <c:axId val="78140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21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Variation</a:t>
            </a:r>
            <a:r>
              <a:rPr lang="en-US" baseline="0"/>
              <a:t> du Véga en fonction du Spot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Feuil1!$AF$50</c:f>
              <c:strCache>
                <c:ptCount val="1"/>
                <c:pt idx="0">
                  <c:v>VEGA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Feuil1!$AE$51:$AE$60</c:f>
              <c:numCache>
                <c:formatCode>General</c:formatCode>
                <c:ptCount val="10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110</c:v>
                </c:pt>
                <c:pt idx="6">
                  <c:v>130</c:v>
                </c:pt>
                <c:pt idx="7">
                  <c:v>150</c:v>
                </c:pt>
                <c:pt idx="8">
                  <c:v>170</c:v>
                </c:pt>
                <c:pt idx="9">
                  <c:v>190</c:v>
                </c:pt>
              </c:numCache>
            </c:numRef>
          </c:xVal>
          <c:yVal>
            <c:numRef>
              <c:f>Feuil1!$AF$51:$AF$60</c:f>
              <c:numCache>
                <c:formatCode>General</c:formatCode>
                <c:ptCount val="10"/>
                <c:pt idx="0">
                  <c:v>5.1227062072056828</c:v>
                </c:pt>
                <c:pt idx="1">
                  <c:v>26.695182626275624</c:v>
                </c:pt>
                <c:pt idx="2">
                  <c:v>41.396845628377207</c:v>
                </c:pt>
                <c:pt idx="3">
                  <c:v>49.31095702354029</c:v>
                </c:pt>
                <c:pt idx="4">
                  <c:v>52.969920893303865</c:v>
                </c:pt>
                <c:pt idx="5">
                  <c:v>54.087224656391776</c:v>
                </c:pt>
                <c:pt idx="6">
                  <c:v>53.699464668687888</c:v>
                </c:pt>
                <c:pt idx="7">
                  <c:v>52.430387546668278</c:v>
                </c:pt>
                <c:pt idx="8">
                  <c:v>50.660012827267515</c:v>
                </c:pt>
                <c:pt idx="9">
                  <c:v>48.622939860804181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1-4D12-B1D1-816801D70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423615"/>
        <c:axId val="781417855"/>
      </c:scatterChart>
      <c:valAx>
        <c:axId val="781423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17855"/>
        <c:crosses val="autoZero"/>
        <c:crossBetween val="midCat"/>
      </c:valAx>
      <c:valAx>
        <c:axId val="78141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23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Variation</a:t>
            </a:r>
            <a:r>
              <a:rPr lang="fr-FR" baseline="0"/>
              <a:t> du Théta en fonction du Spot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Feuil1!$AF$70</c:f>
              <c:strCache>
                <c:ptCount val="1"/>
                <c:pt idx="0">
                  <c:v>THÉTA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Feuil1!$AE$71:$AE$80</c:f>
              <c:numCache>
                <c:formatCode>General</c:formatCode>
                <c:ptCount val="10"/>
                <c:pt idx="0">
                  <c:v>30</c:v>
                </c:pt>
                <c:pt idx="1">
                  <c:v>50</c:v>
                </c:pt>
                <c:pt idx="2">
                  <c:v>70</c:v>
                </c:pt>
                <c:pt idx="3">
                  <c:v>90</c:v>
                </c:pt>
                <c:pt idx="4">
                  <c:v>110</c:v>
                </c:pt>
                <c:pt idx="5">
                  <c:v>130</c:v>
                </c:pt>
                <c:pt idx="6">
                  <c:v>150</c:v>
                </c:pt>
                <c:pt idx="7">
                  <c:v>170</c:v>
                </c:pt>
                <c:pt idx="8">
                  <c:v>190</c:v>
                </c:pt>
                <c:pt idx="9">
                  <c:v>210</c:v>
                </c:pt>
              </c:numCache>
            </c:numRef>
          </c:xVal>
          <c:yVal>
            <c:numRef>
              <c:f>Feuil1!$AF$71:$AF$80</c:f>
              <c:numCache>
                <c:formatCode>General</c:formatCode>
                <c:ptCount val="10"/>
                <c:pt idx="0">
                  <c:v>-2.0461279534432997</c:v>
                </c:pt>
                <c:pt idx="1">
                  <c:v>-3.4779246785598916</c:v>
                </c:pt>
                <c:pt idx="2">
                  <c:v>-4.4871052997922103</c:v>
                </c:pt>
                <c:pt idx="3">
                  <c:v>-5.1860963267712741</c:v>
                </c:pt>
                <c:pt idx="4">
                  <c:v>-5.6727658313274496</c:v>
                </c:pt>
                <c:pt idx="5">
                  <c:v>-6.0141711584588098</c:v>
                </c:pt>
                <c:pt idx="6">
                  <c:v>-6.2548632385662524</c:v>
                </c:pt>
                <c:pt idx="7">
                  <c:v>-6.4246511565913096</c:v>
                </c:pt>
                <c:pt idx="8">
                  <c:v>-6.5438049110014962</c:v>
                </c:pt>
                <c:pt idx="9">
                  <c:v>-6.6263529023389092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2-4325-9D62-F159A6C32568}"/>
            </c:ext>
          </c:extLst>
        </c:ser>
        <c:ser>
          <c:idx val="1"/>
          <c:order val="1"/>
          <c:tx>
            <c:strRef>
              <c:f>Feuil1!$AG$70</c:f>
              <c:strCache>
                <c:ptCount val="1"/>
                <c:pt idx="0">
                  <c:v>THÉTA 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Feuil1!$AE$71:$AE$80</c:f>
              <c:numCache>
                <c:formatCode>General</c:formatCode>
                <c:ptCount val="10"/>
                <c:pt idx="0">
                  <c:v>30</c:v>
                </c:pt>
                <c:pt idx="1">
                  <c:v>50</c:v>
                </c:pt>
                <c:pt idx="2">
                  <c:v>70</c:v>
                </c:pt>
                <c:pt idx="3">
                  <c:v>90</c:v>
                </c:pt>
                <c:pt idx="4">
                  <c:v>110</c:v>
                </c:pt>
                <c:pt idx="5">
                  <c:v>130</c:v>
                </c:pt>
                <c:pt idx="6">
                  <c:v>150</c:v>
                </c:pt>
                <c:pt idx="7">
                  <c:v>170</c:v>
                </c:pt>
                <c:pt idx="8">
                  <c:v>190</c:v>
                </c:pt>
                <c:pt idx="9">
                  <c:v>210</c:v>
                </c:pt>
              </c:numCache>
            </c:numRef>
          </c:xVal>
          <c:yVal>
            <c:numRef>
              <c:f>Feuil1!$AG$71:$AG$80</c:f>
              <c:numCache>
                <c:formatCode>General</c:formatCode>
                <c:ptCount val="10"/>
                <c:pt idx="0">
                  <c:v>4.0191786436830341</c:v>
                </c:pt>
                <c:pt idx="1">
                  <c:v>2.5873819185664422</c:v>
                </c:pt>
                <c:pt idx="2">
                  <c:v>1.5782012973341235</c:v>
                </c:pt>
                <c:pt idx="3">
                  <c:v>0.87921027035506016</c:v>
                </c:pt>
                <c:pt idx="4">
                  <c:v>0.39254076579888464</c:v>
                </c:pt>
                <c:pt idx="5">
                  <c:v>5.1135438667523569E-2</c:v>
                </c:pt>
                <c:pt idx="6">
                  <c:v>-0.18955664143991857</c:v>
                </c:pt>
                <c:pt idx="7">
                  <c:v>-0.35934455946497534</c:v>
                </c:pt>
                <c:pt idx="8">
                  <c:v>-0.47849831387516195</c:v>
                </c:pt>
                <c:pt idx="9">
                  <c:v>-0.56104630521257493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2-4325-9D62-F159A6C32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039567"/>
        <c:axId val="686036687"/>
      </c:scatterChart>
      <c:valAx>
        <c:axId val="686039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036687"/>
        <c:crosses val="autoZero"/>
        <c:crossBetween val="midCat"/>
      </c:valAx>
      <c:valAx>
        <c:axId val="68603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0395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Variation du Rho en fonction du Spot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Feuil1!$AF$100</c:f>
              <c:strCache>
                <c:ptCount val="1"/>
                <c:pt idx="0">
                  <c:v>RHO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Feuil1!$AE$101:$AE$110</c:f>
              <c:numCache>
                <c:formatCode>General</c:formatCode>
                <c:ptCount val="10"/>
                <c:pt idx="0">
                  <c:v>30</c:v>
                </c:pt>
                <c:pt idx="1">
                  <c:v>50</c:v>
                </c:pt>
                <c:pt idx="2">
                  <c:v>70</c:v>
                </c:pt>
                <c:pt idx="3">
                  <c:v>90</c:v>
                </c:pt>
                <c:pt idx="4">
                  <c:v>110</c:v>
                </c:pt>
                <c:pt idx="5">
                  <c:v>130</c:v>
                </c:pt>
                <c:pt idx="6">
                  <c:v>150</c:v>
                </c:pt>
                <c:pt idx="7">
                  <c:v>170</c:v>
                </c:pt>
                <c:pt idx="8">
                  <c:v>190</c:v>
                </c:pt>
                <c:pt idx="9">
                  <c:v>210</c:v>
                </c:pt>
              </c:numCache>
            </c:numRef>
          </c:cat>
          <c:val>
            <c:numRef>
              <c:f>Feuil1!$AF$101:$AF$110</c:f>
              <c:numCache>
                <c:formatCode>General</c:formatCode>
                <c:ptCount val="10"/>
                <c:pt idx="0">
                  <c:v>35.568441106475916</c:v>
                </c:pt>
                <c:pt idx="1">
                  <c:v>70.404119857051583</c:v>
                </c:pt>
                <c:pt idx="2">
                  <c:v>101.07787243075981</c:v>
                </c:pt>
                <c:pt idx="3">
                  <c:v>126.88001410530404</c:v>
                </c:pt>
                <c:pt idx="4">
                  <c:v>148.42022992539304</c:v>
                </c:pt>
                <c:pt idx="5">
                  <c:v>166.45989625122081</c:v>
                </c:pt>
                <c:pt idx="6">
                  <c:v>181.66719306164194</c:v>
                </c:pt>
                <c:pt idx="7">
                  <c:v>194.58252576139671</c:v>
                </c:pt>
                <c:pt idx="8">
                  <c:v>205.63289589806436</c:v>
                </c:pt>
                <c:pt idx="9">
                  <c:v>215.1543792478013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30-4ABA-AAC5-D978382EE10A}"/>
            </c:ext>
          </c:extLst>
        </c:ser>
        <c:ser>
          <c:idx val="1"/>
          <c:order val="1"/>
          <c:tx>
            <c:strRef>
              <c:f>Feuil1!$AG$100</c:f>
              <c:strCache>
                <c:ptCount val="1"/>
                <c:pt idx="0">
                  <c:v>RHO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Feuil1!$AE$101:$AE$110</c:f>
              <c:numCache>
                <c:formatCode>General</c:formatCode>
                <c:ptCount val="10"/>
                <c:pt idx="0">
                  <c:v>30</c:v>
                </c:pt>
                <c:pt idx="1">
                  <c:v>50</c:v>
                </c:pt>
                <c:pt idx="2">
                  <c:v>70</c:v>
                </c:pt>
                <c:pt idx="3">
                  <c:v>90</c:v>
                </c:pt>
                <c:pt idx="4">
                  <c:v>110</c:v>
                </c:pt>
                <c:pt idx="5">
                  <c:v>130</c:v>
                </c:pt>
                <c:pt idx="6">
                  <c:v>150</c:v>
                </c:pt>
                <c:pt idx="7">
                  <c:v>170</c:v>
                </c:pt>
                <c:pt idx="8">
                  <c:v>190</c:v>
                </c:pt>
                <c:pt idx="9">
                  <c:v>210</c:v>
                </c:pt>
              </c:numCache>
            </c:numRef>
          </c:cat>
          <c:val>
            <c:numRef>
              <c:f>Feuil1!$AG$101:$AG$110</c:f>
              <c:numCache>
                <c:formatCode>General</c:formatCode>
                <c:ptCount val="10"/>
                <c:pt idx="0">
                  <c:v>-267.69688874984081</c:v>
                </c:pt>
                <c:pt idx="1">
                  <c:v>-232.86120999926516</c:v>
                </c:pt>
                <c:pt idx="2">
                  <c:v>-202.18745742555691</c:v>
                </c:pt>
                <c:pt idx="3">
                  <c:v>-176.38531575101268</c:v>
                </c:pt>
                <c:pt idx="4">
                  <c:v>-154.84509993092368</c:v>
                </c:pt>
                <c:pt idx="5">
                  <c:v>-136.80543360509591</c:v>
                </c:pt>
                <c:pt idx="6">
                  <c:v>-121.59813679467476</c:v>
                </c:pt>
                <c:pt idx="7">
                  <c:v>-108.68280409492002</c:v>
                </c:pt>
                <c:pt idx="8">
                  <c:v>-97.632433958252363</c:v>
                </c:pt>
                <c:pt idx="9">
                  <c:v>-88.110950608515438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ABA-AAC5-D978382EE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421695"/>
        <c:axId val="781429855"/>
      </c:lineChart>
      <c:catAx>
        <c:axId val="781421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29855"/>
        <c:crosses val="autoZero"/>
        <c:auto val="1"/>
        <c:lblAlgn val="ctr"/>
        <c:lblOffset val="100"/>
        <c:noMultiLvlLbl val="0"/>
      </c:catAx>
      <c:valAx>
        <c:axId val="78142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1421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Feuil1!$C$205</c:f>
              <c:strCache>
                <c:ptCount val="1"/>
                <c:pt idx="0">
                  <c:v>PRIX CALL VOL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Feuil1!$B$206:$B$217</c:f>
              <c:numCache>
                <c:formatCode>General</c:formatCode>
                <c:ptCount val="12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200</c:v>
                </c:pt>
              </c:numCache>
            </c:numRef>
          </c:xVal>
          <c:yVal>
            <c:numRef>
              <c:f>Feuil1!$C$206:$C$217</c:f>
              <c:numCache>
                <c:formatCode>General</c:formatCode>
                <c:ptCount val="12"/>
                <c:pt idx="0">
                  <c:v>5.5156752400239949E-2</c:v>
                </c:pt>
                <c:pt idx="1">
                  <c:v>9.2105798426535841E-3</c:v>
                </c:pt>
                <c:pt idx="2">
                  <c:v>8.4007534371800753E-4</c:v>
                </c:pt>
                <c:pt idx="3">
                  <c:v>1.9930761120767788E-5</c:v>
                </c:pt>
                <c:pt idx="4">
                  <c:v>1.4147044926366198E-7</c:v>
                </c:pt>
                <c:pt idx="5">
                  <c:v>8.1405573034758388E-9</c:v>
                </c:pt>
                <c:pt idx="6">
                  <c:v>3.7632930438741045E-10</c:v>
                </c:pt>
                <c:pt idx="7">
                  <c:v>4.6012116460190868E-13</c:v>
                </c:pt>
                <c:pt idx="8">
                  <c:v>3.1063530987549661E-16</c:v>
                </c:pt>
                <c:pt idx="9">
                  <c:v>1.3600383893857035E-19</c:v>
                </c:pt>
                <c:pt idx="10">
                  <c:v>4.4287653031292356E-23</c:v>
                </c:pt>
                <c:pt idx="11">
                  <c:v>7.4171883755502169E-25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2-4A28-B4B2-FF2550E1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832784"/>
        <c:axId val="1017809264"/>
      </c:scatterChart>
      <c:valAx>
        <c:axId val="101783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7809264"/>
        <c:crosses val="autoZero"/>
        <c:crossBetween val="midCat"/>
      </c:valAx>
      <c:valAx>
        <c:axId val="101780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783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Feuil1!$C$220</c:f>
              <c:strCache>
                <c:ptCount val="1"/>
                <c:pt idx="0">
                  <c:v>PRIX PUT VOL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Feuil1!$B$221:$B$232</c:f>
              <c:numCache>
                <c:formatCode>General</c:formatCode>
                <c:ptCount val="12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200</c:v>
                </c:pt>
              </c:numCache>
            </c:numRef>
          </c:xVal>
          <c:yVal>
            <c:numRef>
              <c:f>Feuil1!$C$221:$C$232</c:f>
              <c:numCache>
                <c:formatCode>General</c:formatCode>
                <c:ptCount val="12"/>
                <c:pt idx="0">
                  <c:v>-8.5788834549719209E-2</c:v>
                </c:pt>
                <c:pt idx="1">
                  <c:v>-1.5334378983278731</c:v>
                </c:pt>
                <c:pt idx="2">
                  <c:v>-7.6165411910484968E-2</c:v>
                </c:pt>
                <c:pt idx="3">
                  <c:v>-8.5428533203761798E-4</c:v>
                </c:pt>
                <c:pt idx="4">
                  <c:v>-2.8387043059436801E-6</c:v>
                </c:pt>
                <c:pt idx="5">
                  <c:v>-1.0588251877867055E-7</c:v>
                </c:pt>
                <c:pt idx="6">
                  <c:v>-2.875461363257097E-9</c:v>
                </c:pt>
                <c:pt idx="7">
                  <c:v>-7.7467819914047077E-14</c:v>
                </c:pt>
                <c:pt idx="8">
                  <c:v>1.4479298453282605E-15</c:v>
                </c:pt>
                <c:pt idx="9">
                  <c:v>1.0822647709478638E-18</c:v>
                </c:pt>
                <c:pt idx="10">
                  <c:v>4.5640800783078084E-22</c:v>
                </c:pt>
                <c:pt idx="11">
                  <c:v>8.3319634266029316E-24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F3-4DC8-BB41-DDDB783DB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894783"/>
        <c:axId val="2047898143"/>
      </c:scatterChart>
      <c:valAx>
        <c:axId val="2047894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7898143"/>
        <c:crosses val="autoZero"/>
        <c:crossBetween val="midCat"/>
      </c:valAx>
      <c:valAx>
        <c:axId val="204789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7894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750456</xdr:colOff>
      <xdr:row>45</xdr:row>
      <xdr:rowOff>147374</xdr:rowOff>
    </xdr:from>
    <xdr:to>
      <xdr:col>7</xdr:col>
      <xdr:colOff>1719437</xdr:colOff>
      <xdr:row>63</xdr:row>
      <xdr:rowOff>183240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7FA425E-D954-1B20-1EF9-48F7793E1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663862</xdr:colOff>
      <xdr:row>67</xdr:row>
      <xdr:rowOff>31171</xdr:rowOff>
    </xdr:from>
    <xdr:to>
      <xdr:col>7</xdr:col>
      <xdr:colOff>1632843</xdr:colOff>
      <xdr:row>85</xdr:row>
      <xdr:rowOff>68480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B678F44-863A-C5C0-26F0-D164AFF276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166160</xdr:colOff>
      <xdr:row>45</xdr:row>
      <xdr:rowOff>154739</xdr:rowOff>
    </xdr:from>
    <xdr:to>
      <xdr:col>26</xdr:col>
      <xdr:colOff>151915</xdr:colOff>
      <xdr:row>64</xdr:row>
      <xdr:rowOff>6696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9D60C11-D4A6-1F5A-8734-AE6AAEEFB2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154460</xdr:colOff>
      <xdr:row>66</xdr:row>
      <xdr:rowOff>80318</xdr:rowOff>
    </xdr:from>
    <xdr:to>
      <xdr:col>26</xdr:col>
      <xdr:colOff>140215</xdr:colOff>
      <xdr:row>84</xdr:row>
      <xdr:rowOff>117131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B1D2F64-1340-6478-E933-0F6AE30BD8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731108</xdr:colOff>
      <xdr:row>95</xdr:row>
      <xdr:rowOff>39130</xdr:rowOff>
    </xdr:from>
    <xdr:to>
      <xdr:col>7</xdr:col>
      <xdr:colOff>1710144</xdr:colOff>
      <xdr:row>112</xdr:row>
      <xdr:rowOff>155830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6FAE2CBC-F109-392A-51C4-BBBB33114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240323</xdr:colOff>
      <xdr:row>95</xdr:row>
      <xdr:rowOff>64477</xdr:rowOff>
    </xdr:from>
    <xdr:to>
      <xdr:col>26</xdr:col>
      <xdr:colOff>145632</xdr:colOff>
      <xdr:row>112</xdr:row>
      <xdr:rowOff>181177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19A4C1C9-043C-49E5-90F3-4F99FF6B87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709246</xdr:colOff>
      <xdr:row>126</xdr:row>
      <xdr:rowOff>123092</xdr:rowOff>
    </xdr:from>
    <xdr:to>
      <xdr:col>7</xdr:col>
      <xdr:colOff>1688282</xdr:colOff>
      <xdr:row>144</xdr:row>
      <xdr:rowOff>49292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91669CD-ADB8-8502-55F3-3B32F8344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54428</xdr:colOff>
      <xdr:row>125</xdr:row>
      <xdr:rowOff>157844</xdr:rowOff>
    </xdr:from>
    <xdr:to>
      <xdr:col>26</xdr:col>
      <xdr:colOff>756373</xdr:colOff>
      <xdr:row>143</xdr:row>
      <xdr:rowOff>84044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5C5E42A7-570E-BB2B-2ABB-B071B3B12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875631</xdr:colOff>
      <xdr:row>150</xdr:row>
      <xdr:rowOff>32085</xdr:rowOff>
    </xdr:from>
    <xdr:to>
      <xdr:col>7</xdr:col>
      <xdr:colOff>160305</xdr:colOff>
      <xdr:row>169</xdr:row>
      <xdr:rowOff>18485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CCFC0D-E2FC-5AD5-BBAF-34CA1584DD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207210</xdr:colOff>
      <xdr:row>150</xdr:row>
      <xdr:rowOff>26737</xdr:rowOff>
    </xdr:from>
    <xdr:to>
      <xdr:col>14</xdr:col>
      <xdr:colOff>53474</xdr:colOff>
      <xdr:row>169</xdr:row>
      <xdr:rowOff>13368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90FE3EE-92D2-FDB8-B359-2BCCA23B80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929105</xdr:colOff>
      <xdr:row>175</xdr:row>
      <xdr:rowOff>45452</xdr:rowOff>
    </xdr:from>
    <xdr:to>
      <xdr:col>7</xdr:col>
      <xdr:colOff>213779</xdr:colOff>
      <xdr:row>194</xdr:row>
      <xdr:rowOff>31852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ABF8C5E0-B92F-469D-57C2-31747CCC5F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247317</xdr:colOff>
      <xdr:row>175</xdr:row>
      <xdr:rowOff>32084</xdr:rowOff>
    </xdr:from>
    <xdr:to>
      <xdr:col>14</xdr:col>
      <xdr:colOff>93464</xdr:colOff>
      <xdr:row>194</xdr:row>
      <xdr:rowOff>18484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FEEC6D6A-A5CF-CF87-FEC0-1D539FC455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367631</xdr:colOff>
      <xdr:row>46</xdr:row>
      <xdr:rowOff>165769</xdr:rowOff>
    </xdr:from>
    <xdr:to>
      <xdr:col>37</xdr:col>
      <xdr:colOff>701842</xdr:colOff>
      <xdr:row>61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5C678C4E-514A-994D-0ABE-4B3D1E45CB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33</xdr:col>
      <xdr:colOff>327526</xdr:colOff>
      <xdr:row>66</xdr:row>
      <xdr:rowOff>179137</xdr:rowOff>
    </xdr:from>
    <xdr:to>
      <xdr:col>39</xdr:col>
      <xdr:colOff>167105</xdr:colOff>
      <xdr:row>81</xdr:row>
      <xdr:rowOff>114969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1B50B593-E1C4-D937-CFB3-2129E8C3C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33</xdr:col>
      <xdr:colOff>474578</xdr:colOff>
      <xdr:row>96</xdr:row>
      <xdr:rowOff>32085</xdr:rowOff>
    </xdr:from>
    <xdr:to>
      <xdr:col>39</xdr:col>
      <xdr:colOff>314157</xdr:colOff>
      <xdr:row>110</xdr:row>
      <xdr:rowOff>155075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537F293C-6E6F-C03C-41EB-F32B12DBEF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358588</xdr:colOff>
      <xdr:row>206</xdr:row>
      <xdr:rowOff>1</xdr:rowOff>
    </xdr:from>
    <xdr:to>
      <xdr:col>7</xdr:col>
      <xdr:colOff>941293</xdr:colOff>
      <xdr:row>231</xdr:row>
      <xdr:rowOff>14942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2793E87E-2D8A-2DD7-5E03-1CAD72E86D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1120589</xdr:colOff>
      <xdr:row>206</xdr:row>
      <xdr:rowOff>0</xdr:rowOff>
    </xdr:from>
    <xdr:to>
      <xdr:col>14</xdr:col>
      <xdr:colOff>433295</xdr:colOff>
      <xdr:row>230</xdr:row>
      <xdr:rowOff>124012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FB0BAFF8-F6C4-97F4-EFA8-31033041B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5651E-C379-4E1A-A443-392950601494}">
  <sheetPr codeName="Feuil1"/>
  <dimension ref="A1:BZ300"/>
  <sheetViews>
    <sheetView tabSelected="1" zoomScale="51" zoomScaleNormal="100" workbookViewId="0">
      <selection activeCell="P14" sqref="P14"/>
    </sheetView>
  </sheetViews>
  <sheetFormatPr baseColWidth="10" defaultRowHeight="14.4" x14ac:dyDescent="0.3"/>
  <cols>
    <col min="1" max="8" width="25.77734375" customWidth="1"/>
    <col min="16" max="16" width="25.77734375" customWidth="1"/>
    <col min="17" max="18" width="15.77734375" customWidth="1"/>
    <col min="31" max="33" width="15.77734375" customWidth="1"/>
  </cols>
  <sheetData>
    <row r="1" spans="1:78" ht="15" thickBot="1" x14ac:dyDescent="0.35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</row>
    <row r="2" spans="1:78" x14ac:dyDescent="0.3">
      <c r="A2" s="5"/>
      <c r="B2" s="55" t="s">
        <v>0</v>
      </c>
      <c r="C2" s="56"/>
      <c r="D2" s="1"/>
      <c r="E2" s="1"/>
      <c r="F2" s="47" t="s">
        <v>30</v>
      </c>
      <c r="G2" s="4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</row>
    <row r="3" spans="1:78" x14ac:dyDescent="0.3">
      <c r="A3" s="1"/>
      <c r="B3" s="6" t="s">
        <v>1</v>
      </c>
      <c r="C3" s="3">
        <v>90</v>
      </c>
      <c r="D3" s="1"/>
      <c r="E3" s="1"/>
      <c r="F3" s="6" t="s">
        <v>25</v>
      </c>
      <c r="G3" s="3">
        <v>0.2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</row>
    <row r="4" spans="1:78" x14ac:dyDescent="0.3">
      <c r="A4" s="1"/>
      <c r="B4" s="6" t="s">
        <v>2</v>
      </c>
      <c r="C4" s="3">
        <v>100</v>
      </c>
      <c r="D4" s="1"/>
      <c r="E4" s="1"/>
      <c r="F4" s="6" t="s">
        <v>26</v>
      </c>
      <c r="G4" s="3">
        <v>0.04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</row>
    <row r="5" spans="1:78" x14ac:dyDescent="0.3">
      <c r="A5" s="1"/>
      <c r="B5" s="6" t="s">
        <v>3</v>
      </c>
      <c r="C5" s="3">
        <v>0.1</v>
      </c>
      <c r="D5" s="1"/>
      <c r="E5" s="1"/>
      <c r="F5" s="39" t="s">
        <v>27</v>
      </c>
      <c r="G5" s="40">
        <v>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</row>
    <row r="6" spans="1:78" x14ac:dyDescent="0.3">
      <c r="A6" s="1"/>
      <c r="B6" s="6" t="s">
        <v>4</v>
      </c>
      <c r="C6" s="3">
        <v>0.5</v>
      </c>
      <c r="D6" s="1"/>
      <c r="E6" s="1"/>
      <c r="F6" s="39" t="s">
        <v>31</v>
      </c>
      <c r="G6" s="41">
        <v>100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</row>
    <row r="7" spans="1:78" ht="15" thickBot="1" x14ac:dyDescent="0.35">
      <c r="A7" s="1"/>
      <c r="B7" s="7" t="s">
        <v>22</v>
      </c>
      <c r="C7" s="4">
        <v>5</v>
      </c>
      <c r="D7" s="1"/>
      <c r="E7" s="1"/>
      <c r="F7" s="39" t="s">
        <v>32</v>
      </c>
      <c r="G7" s="41">
        <v>100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</row>
    <row r="8" spans="1:78" ht="15" thickBot="1" x14ac:dyDescent="0.35">
      <c r="A8" s="1"/>
      <c r="B8" s="1"/>
      <c r="C8" s="1"/>
      <c r="D8" s="1"/>
      <c r="E8" s="1"/>
      <c r="F8" s="44" t="s">
        <v>33</v>
      </c>
      <c r="G8" s="45">
        <v>0.01</v>
      </c>
      <c r="H8" s="38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</row>
    <row r="9" spans="1:78" ht="15" thickBot="1" x14ac:dyDescent="0.35">
      <c r="A9" s="1"/>
      <c r="B9" s="50" t="s">
        <v>5</v>
      </c>
      <c r="C9" s="51"/>
      <c r="D9" s="57"/>
      <c r="E9" s="1"/>
      <c r="F9" s="49"/>
      <c r="G9" s="49"/>
      <c r="H9" s="49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</row>
    <row r="10" spans="1:78" ht="15" thickBot="1" x14ac:dyDescent="0.35">
      <c r="A10" s="1"/>
      <c r="B10" s="8"/>
      <c r="C10" s="21" t="s">
        <v>6</v>
      </c>
      <c r="D10" s="43" t="s">
        <v>7</v>
      </c>
      <c r="E10" s="1"/>
      <c r="F10" s="1"/>
      <c r="G10" s="1"/>
      <c r="H10" s="1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</row>
    <row r="11" spans="1:78" ht="15" thickBot="1" x14ac:dyDescent="0.35">
      <c r="A11" s="1"/>
      <c r="B11" s="9" t="s">
        <v>8</v>
      </c>
      <c r="C11" s="58" cm="1">
        <f t="array" ref="C11">OptionD1(C3,C4,C5,C6,C7)</f>
        <v>0.91199327981277301</v>
      </c>
      <c r="D11" s="59"/>
      <c r="E11" s="1"/>
      <c r="F11" s="50" t="s">
        <v>5</v>
      </c>
      <c r="G11" s="51"/>
      <c r="H11" s="5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</row>
    <row r="12" spans="1:78" ht="15" thickBot="1" x14ac:dyDescent="0.35">
      <c r="A12" s="1"/>
      <c r="B12" s="10" t="s">
        <v>9</v>
      </c>
      <c r="C12" s="60" cm="1">
        <f t="array" ref="C12">OptionD2(C3,C4,C5,C6,C7)</f>
        <v>-0.2060407089371219</v>
      </c>
      <c r="D12" s="61"/>
      <c r="E12" s="1"/>
      <c r="F12" s="8"/>
      <c r="G12" s="21" t="s">
        <v>6</v>
      </c>
      <c r="H12" s="22" t="s">
        <v>7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</row>
    <row r="13" spans="1:78" ht="15" thickBot="1" x14ac:dyDescent="0.35">
      <c r="A13" s="5"/>
      <c r="B13" s="11"/>
      <c r="C13" s="23"/>
      <c r="D13" s="24"/>
      <c r="E13" s="1"/>
      <c r="F13" s="12" t="s">
        <v>28</v>
      </c>
      <c r="G13" s="32" cm="1">
        <f t="array" ref="G13">LocalVolCallPrice(C3,C4,C5,C7,G3,G4,G5)</f>
        <v>1.4147044926366198E-7</v>
      </c>
      <c r="H13" s="35" cm="1">
        <f t="array" ref="H13">LocalVolPutPrice(C3,C4,C5,C7,G3,G4,G5)</f>
        <v>-2.8387043059436801E-6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</row>
    <row r="14" spans="1:78" ht="15" thickBot="1" x14ac:dyDescent="0.35">
      <c r="A14" s="1"/>
      <c r="B14" s="12" t="s">
        <v>10</v>
      </c>
      <c r="C14" s="26" cm="1">
        <f t="array" ref="C14">PriceCall(C3,C4,C5,C6,C7)</f>
        <v>48.344245695602993</v>
      </c>
      <c r="D14" s="27" cm="1">
        <f t="array" ref="D14">PricePut(C3,C4,C5,C6,C7)</f>
        <v>18.997311666866334</v>
      </c>
      <c r="E14" s="1"/>
      <c r="F14" s="10"/>
      <c r="G14" s="36"/>
      <c r="H14" s="37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</row>
    <row r="15" spans="1:78" ht="15" thickBot="1" x14ac:dyDescent="0.35">
      <c r="A15" s="1"/>
      <c r="B15" s="11"/>
      <c r="C15" s="1"/>
      <c r="D15" s="25"/>
      <c r="E15" s="1"/>
      <c r="F15" s="12" t="s">
        <v>29</v>
      </c>
      <c r="G15" s="32" cm="1">
        <f t="array" ref="G15">HedgeCall(C3,C4,C5,C7,G3,G4,G5)</f>
        <v>-3.8722877113538916E-8</v>
      </c>
      <c r="H15" s="35" cm="1">
        <f t="array" ref="H15">HedgePut(C3,C4,C5,C7,G3,G4,G5)</f>
        <v>8.9206273906141152E-7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</row>
    <row r="16" spans="1:78" x14ac:dyDescent="0.3">
      <c r="A16" s="1"/>
      <c r="B16" s="9" t="s">
        <v>11</v>
      </c>
      <c r="C16" s="15" cm="1">
        <f t="array" ref="C16">DeltaCall(C3,C4,C5,C6,C7)</f>
        <v>0.81911387240737554</v>
      </c>
      <c r="D16" s="18" cm="1">
        <f t="array" ref="D16">DeltaPut(C3,C4,C5,C6,C7)</f>
        <v>-0.18088612759262446</v>
      </c>
      <c r="E16" s="1"/>
      <c r="F16" s="1"/>
      <c r="G16" s="46"/>
      <c r="H16" s="46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</row>
    <row r="17" spans="1:78" x14ac:dyDescent="0.3">
      <c r="A17" s="1"/>
      <c r="B17" s="13" t="s">
        <v>12</v>
      </c>
      <c r="C17" s="62" cm="1">
        <f t="array" ref="C17">GammaOption(C3,C4,C5,C6,C7)</f>
        <v>2.6157985626322896E-3</v>
      </c>
      <c r="D17" s="63"/>
      <c r="E17" s="1"/>
      <c r="F17" s="1"/>
      <c r="G17" s="46"/>
      <c r="H17" s="46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</row>
    <row r="18" spans="1:78" x14ac:dyDescent="0.3">
      <c r="A18" s="1"/>
      <c r="B18" s="13" t="s">
        <v>13</v>
      </c>
      <c r="C18" s="53" cm="1">
        <f t="array" ref="C18">vega(C3,C4,C5,C6,C7)</f>
        <v>52.969920893303865</v>
      </c>
      <c r="D18" s="54"/>
      <c r="E18" s="1"/>
      <c r="F18" s="1"/>
      <c r="G18" s="33"/>
      <c r="H18" s="34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</row>
    <row r="19" spans="1:78" x14ac:dyDescent="0.3">
      <c r="A19" s="1"/>
      <c r="B19" s="13" t="s">
        <v>19</v>
      </c>
      <c r="C19" s="16" cm="1">
        <f t="array" ref="C19">ThetaCall(C3,C4,C5,C6,C7)</f>
        <v>-5.1860963267712741</v>
      </c>
      <c r="D19" s="19" cm="1">
        <f t="array" ref="D19">ThetaPut(C3,C4,C5,C6,C7)</f>
        <v>0.87921027035506016</v>
      </c>
      <c r="E19" s="42"/>
      <c r="F19" s="1"/>
      <c r="G19" s="33"/>
      <c r="H19" s="34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</row>
    <row r="20" spans="1:78" ht="15" thickBot="1" x14ac:dyDescent="0.35">
      <c r="A20" s="1"/>
      <c r="B20" s="14" t="s">
        <v>14</v>
      </c>
      <c r="C20" s="17" cm="1">
        <f t="array" ref="C20">RhoCall(C3,C4,C5,C6,C7)</f>
        <v>126.88001410530404</v>
      </c>
      <c r="D20" s="20" cm="1">
        <f t="array" ref="D20">RhoPut(C3,C4,C5,C6,C7)</f>
        <v>-176.38531575101268</v>
      </c>
      <c r="E20" s="1"/>
      <c r="F20" s="1"/>
      <c r="G20" s="1"/>
      <c r="H20" s="1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</row>
    <row r="21" spans="1:78" x14ac:dyDescent="0.3">
      <c r="A21" s="1"/>
      <c r="B21" s="1"/>
      <c r="C21" s="1"/>
      <c r="D21" s="1"/>
      <c r="E21" s="1"/>
      <c r="F21" s="1"/>
      <c r="G21" s="46"/>
      <c r="H21" s="46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</row>
    <row r="22" spans="1:78" x14ac:dyDescent="0.3">
      <c r="A22" s="1"/>
      <c r="B22" s="1"/>
      <c r="C22" s="46"/>
      <c r="D22" s="46"/>
      <c r="E22" s="1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</row>
    <row r="23" spans="1:78" x14ac:dyDescent="0.3">
      <c r="A23" s="1"/>
      <c r="B23" s="1"/>
      <c r="C23" s="1"/>
      <c r="D23" s="1"/>
      <c r="E23" s="1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</row>
    <row r="24" spans="1:78" x14ac:dyDescent="0.3">
      <c r="A24" s="1"/>
      <c r="B24" s="1"/>
      <c r="C24" s="1"/>
      <c r="D24" s="1"/>
      <c r="E24" s="1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</row>
    <row r="25" spans="1:78" x14ac:dyDescent="0.3">
      <c r="A25" s="1"/>
      <c r="B25" s="1"/>
      <c r="C25" s="1"/>
      <c r="D25" s="1"/>
      <c r="E25" s="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</row>
    <row r="26" spans="1:78" x14ac:dyDescent="0.3">
      <c r="A26" s="1"/>
      <c r="B26" s="1"/>
      <c r="C26" s="1"/>
      <c r="D26" s="1"/>
      <c r="E26" s="1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</row>
    <row r="27" spans="1:78" x14ac:dyDescent="0.3">
      <c r="A27" s="1"/>
      <c r="B27" s="1"/>
      <c r="C27" s="1"/>
      <c r="D27" s="1"/>
      <c r="E27" s="1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</row>
    <row r="28" spans="1:78" x14ac:dyDescent="0.3">
      <c r="A28" s="1"/>
      <c r="B28" s="1"/>
      <c r="C28" s="1"/>
      <c r="D28" s="1"/>
      <c r="E28" s="1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</row>
    <row r="29" spans="1:78" x14ac:dyDescent="0.3">
      <c r="A29" s="1"/>
      <c r="B29" s="1"/>
      <c r="C29" s="1"/>
      <c r="D29" s="1"/>
      <c r="E29" s="1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</row>
    <row r="30" spans="1:78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</row>
    <row r="31" spans="1:78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</row>
    <row r="32" spans="1:78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</row>
    <row r="33" spans="1:78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</row>
    <row r="34" spans="1:78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</row>
    <row r="35" spans="1:78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</row>
    <row r="36" spans="1:78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</row>
    <row r="37" spans="1:78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</row>
    <row r="38" spans="1:78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</row>
    <row r="39" spans="1:78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</row>
    <row r="40" spans="1:78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</row>
    <row r="41" spans="1:78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</row>
    <row r="42" spans="1:78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</row>
    <row r="43" spans="1:78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</row>
    <row r="44" spans="1:78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</row>
    <row r="45" spans="1:78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</row>
    <row r="46" spans="1:78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</row>
    <row r="47" spans="1:78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</row>
    <row r="48" spans="1:78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</row>
    <row r="49" spans="1:78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</row>
    <row r="50" spans="1:78" x14ac:dyDescent="0.3">
      <c r="A50" s="2"/>
      <c r="B50" s="30" t="s">
        <v>1</v>
      </c>
      <c r="C50" s="30" t="s">
        <v>15</v>
      </c>
      <c r="D50" s="30" t="s">
        <v>16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30" t="s">
        <v>1</v>
      </c>
      <c r="Q50" s="30" t="s">
        <v>12</v>
      </c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0" t="s">
        <v>1</v>
      </c>
      <c r="AF50" s="30" t="s">
        <v>13</v>
      </c>
      <c r="AG50" s="31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</row>
    <row r="51" spans="1:78" x14ac:dyDescent="0.3">
      <c r="A51" s="2"/>
      <c r="B51" s="29">
        <v>10</v>
      </c>
      <c r="C51" s="28" cm="1">
        <f t="array" ref="C51">PriceCall(B51,C4,C5,C6,C7)</f>
        <v>0.55407427721308034</v>
      </c>
      <c r="D51" s="28" cm="1">
        <f t="array" ref="D51">PricePut(B51,C4,C5,C6,C7)</f>
        <v>51.207140248476421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9">
        <v>10</v>
      </c>
      <c r="Q51" s="28" cm="1">
        <f t="array" ref="Q51">GammaOption(P51,C4,C5,C6,C7)</f>
        <v>2.049082482882273E-2</v>
      </c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9">
        <v>10</v>
      </c>
      <c r="AF51" s="29" cm="1">
        <f t="array" ref="AF51">vega(AE51,C4,C5,C6,C7)</f>
        <v>5.1227062072056828</v>
      </c>
      <c r="AG51" s="1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</row>
    <row r="52" spans="1:78" x14ac:dyDescent="0.3">
      <c r="A52" s="2"/>
      <c r="B52" s="28">
        <v>20</v>
      </c>
      <c r="C52" s="28" cm="1">
        <f t="array" ref="C52">PriceCall(B52,C4,C5,C6,C7)</f>
        <v>2.9838661550896455</v>
      </c>
      <c r="D52" s="28" cm="1">
        <f t="array" ref="D52">PricePut(B52,C4,C5,C6,C7)</f>
        <v>43.636932126352995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8">
        <v>20</v>
      </c>
      <c r="Q52" s="28" cm="1">
        <f t="array" ref="Q52">GammaOption(P52,C4,C5,C6,C7)</f>
        <v>1.6242652621620859E-2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8">
        <v>30</v>
      </c>
      <c r="AF52" s="28" cm="1">
        <f t="array" ref="AF52">vega(AE52,C4,C5,C6,C7)</f>
        <v>26.695182626275624</v>
      </c>
      <c r="AG52" s="1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</row>
    <row r="53" spans="1:78" x14ac:dyDescent="0.3">
      <c r="A53" s="2"/>
      <c r="B53" s="28">
        <v>30</v>
      </c>
      <c r="C53" s="28" cm="1">
        <f t="array" ref="C53">PriceCall(B53,C4,C5,C6,C7)</f>
        <v>7.041630532296745</v>
      </c>
      <c r="D53" s="28" cm="1">
        <f t="array" ref="D53">PricePut(B53,C4,C5,C6,C7)</f>
        <v>37.694696503560088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8">
        <v>30</v>
      </c>
      <c r="Q53" s="28" cm="1">
        <f t="array" ref="Q53">GammaOption(P53,C4,C5,C6,C7)</f>
        <v>1.1864525611678053E-2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8">
        <v>50</v>
      </c>
      <c r="AF53" s="28" cm="1">
        <f t="array" ref="AF53">vega(AE53,C4,C5,C6,C7)</f>
        <v>41.396845628377207</v>
      </c>
      <c r="AG53" s="1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</row>
    <row r="54" spans="1:78" x14ac:dyDescent="0.3">
      <c r="A54" s="2"/>
      <c r="B54" s="28">
        <v>40</v>
      </c>
      <c r="C54" s="28" cm="1">
        <f t="array" ref="C54">PriceCall(B54,C4,C5,C6,C7)</f>
        <v>12.296822729014231</v>
      </c>
      <c r="D54" s="28" cm="1">
        <f t="array" ref="D54">PricePut(B54,C4,C5,C6,C7)</f>
        <v>32.949888700277576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8">
        <v>40</v>
      </c>
      <c r="Q54" s="28" cm="1">
        <f t="array" ref="Q54">GammaOption(P54,C4,C5,C6,C7)</f>
        <v>8.7665355362871577E-3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8">
        <v>70</v>
      </c>
      <c r="AF54" s="28" cm="1">
        <f t="array" ref="AF54">vega(AE54,C4,C5,C6,C7)</f>
        <v>49.31095702354029</v>
      </c>
      <c r="AG54" s="1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</row>
    <row r="55" spans="1:78" x14ac:dyDescent="0.3">
      <c r="A55" s="2"/>
      <c r="B55" s="28">
        <v>50</v>
      </c>
      <c r="C55" s="28" cm="1">
        <f t="array" ref="C55">PriceCall(B55,C4,C5,C6,C7)</f>
        <v>18.436589732149386</v>
      </c>
      <c r="D55" s="28" cm="1">
        <f t="array" ref="D55">PricePut(B55,C4,C5,C6,C7)</f>
        <v>29.089655703412738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8">
        <v>50</v>
      </c>
      <c r="Q55" s="28" cm="1">
        <f t="array" ref="Q55">GammaOption(P55,C4,C5,C6,C7)</f>
        <v>6.623495300540354E-3</v>
      </c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8">
        <v>90</v>
      </c>
      <c r="AF55" s="28" cm="1">
        <f t="array" ref="AF55">vega(AE55,C4,C5,C6,C7)</f>
        <v>52.969920893303865</v>
      </c>
      <c r="AG55" s="1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</row>
    <row r="56" spans="1:78" x14ac:dyDescent="0.3">
      <c r="A56" s="2"/>
      <c r="B56" s="28">
        <v>60</v>
      </c>
      <c r="C56" s="28" cm="1">
        <f t="array" ref="C56">PriceCall(B56,C4,C5,C6,C7)</f>
        <v>25.243939536012228</v>
      </c>
      <c r="D56" s="28" cm="1">
        <f t="array" ref="D56">PricePut(B56,C4,C5,C6,C7)</f>
        <v>25.897005507275573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8">
        <v>60</v>
      </c>
      <c r="Q56" s="28" cm="1">
        <f t="array" ref="Q56">GammaOption(P56,C4,C5,C6,C7)</f>
        <v>5.1141762583785015E-3</v>
      </c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8">
        <v>110</v>
      </c>
      <c r="AF56" s="28" cm="1">
        <f t="array" ref="AF56">vega(AE56,C4,C5,C6,C7)</f>
        <v>54.087224656391776</v>
      </c>
      <c r="AG56" s="1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</row>
    <row r="57" spans="1:78" x14ac:dyDescent="0.3">
      <c r="A57" s="2"/>
      <c r="B57" s="28">
        <v>70</v>
      </c>
      <c r="C57" s="28" cm="1">
        <f t="array" ref="C57">PriceCall(B57,C4,C5,C6,C7)</f>
        <v>32.56617950696743</v>
      </c>
      <c r="D57" s="28" cm="1">
        <f t="array" ref="D57">PricePut(B57,C4,C5,C6,C7)</f>
        <v>23.219245478230778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8">
        <v>70</v>
      </c>
      <c r="Q57" s="28" cm="1">
        <f t="array" ref="Q57">GammaOption(P57,C4,C5,C6,C7)</f>
        <v>4.025384246819615E-3</v>
      </c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8">
        <v>130</v>
      </c>
      <c r="AF57" s="28" cm="1">
        <f t="array" ref="AF57">vega(AE57,C4,C5,C6,C7)</f>
        <v>53.699464668687888</v>
      </c>
      <c r="AG57" s="1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</row>
    <row r="58" spans="1:78" x14ac:dyDescent="0.3">
      <c r="A58" s="2"/>
      <c r="B58" s="28">
        <v>80</v>
      </c>
      <c r="C58" s="28" cm="1">
        <f t="array" ref="C58">PriceCall(B58,C4,C5,C6,C7)</f>
        <v>40.293313413511513</v>
      </c>
      <c r="D58" s="28" cm="1">
        <f t="array" ref="D58">PricePut(B58,C4,C5,C6,C7)</f>
        <v>20.946379384774861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8">
        <v>80</v>
      </c>
      <c r="Q58" s="28" cm="1">
        <f t="array" ref="Q58">GammaOption(P58,C4,C5,C6,C7)</f>
        <v>3.2216070336525786E-3</v>
      </c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8">
        <v>150</v>
      </c>
      <c r="AF58" s="28" cm="1">
        <f t="array" ref="AF58">vega(AE58,C4,C5,C6,C7)</f>
        <v>52.430387546668278</v>
      </c>
      <c r="AG58" s="1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</row>
    <row r="59" spans="1:78" x14ac:dyDescent="0.3">
      <c r="A59" s="2"/>
      <c r="B59" s="28">
        <v>90</v>
      </c>
      <c r="C59" s="28" cm="1">
        <f t="array" ref="C59">PriceCall(B59,C4,C5,C6,C7)</f>
        <v>48.344245695602993</v>
      </c>
      <c r="D59" s="28" cm="1">
        <f t="array" ref="D59">PricePut(B59,C4,C5,C6,C7)</f>
        <v>18.997311666866334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8">
        <v>90</v>
      </c>
      <c r="Q59" s="28" cm="1">
        <f t="array" ref="Q59">GammaOption(P59,C4,C5,C6,C7)</f>
        <v>2.6157985626322896E-3</v>
      </c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8">
        <v>170</v>
      </c>
      <c r="AF59" s="28" cm="1">
        <f t="array" ref="AF59">vega(AE59,C4,C5,C6,C7)</f>
        <v>50.660012827267515</v>
      </c>
      <c r="AG59" s="1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</row>
    <row r="60" spans="1:78" x14ac:dyDescent="0.3">
      <c r="A60" s="2"/>
      <c r="B60" s="28">
        <v>100</v>
      </c>
      <c r="C60" s="28" cm="1">
        <f t="array" ref="C60">PriceCall(B60,C4,C5,C6,C7)</f>
        <v>56.657923412756148</v>
      </c>
      <c r="D60" s="28" cm="1">
        <f t="array" ref="D60">PricePut(B60,C4,C5,C6,C7)</f>
        <v>17.310989384019507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8">
        <v>100</v>
      </c>
      <c r="Q60" s="28" cm="1">
        <f t="array" ref="Q60">GammaOption(P60,C4,C5,C6,C7)</f>
        <v>2.1507675622637508E-3</v>
      </c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8">
        <v>190</v>
      </c>
      <c r="AF60" s="28" cm="1">
        <f t="array" ref="AF60">vega(AE60,C4,C5,C6,C7)</f>
        <v>48.622939860804181</v>
      </c>
      <c r="AG60" s="1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</row>
    <row r="61" spans="1:78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</row>
    <row r="62" spans="1:78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</row>
    <row r="63" spans="1:78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</row>
    <row r="64" spans="1:78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</row>
    <row r="65" spans="1:78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</row>
    <row r="66" spans="1:78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</row>
    <row r="67" spans="1:78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</row>
    <row r="68" spans="1:78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</row>
    <row r="69" spans="1:78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</row>
    <row r="70" spans="1:78" x14ac:dyDescent="0.3">
      <c r="A70" s="2"/>
      <c r="B70" s="30" t="s">
        <v>1</v>
      </c>
      <c r="C70" s="30" t="s">
        <v>17</v>
      </c>
      <c r="D70" s="30" t="s">
        <v>18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30" t="s">
        <v>4</v>
      </c>
      <c r="Q70" s="30" t="s">
        <v>13</v>
      </c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30" t="s">
        <v>1</v>
      </c>
      <c r="AF70" s="30" t="s">
        <v>20</v>
      </c>
      <c r="AG70" s="30" t="s">
        <v>21</v>
      </c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</row>
    <row r="71" spans="1:78" x14ac:dyDescent="0.3">
      <c r="A71" s="2"/>
      <c r="B71" s="29">
        <v>60</v>
      </c>
      <c r="C71" s="28" cm="1">
        <f t="array" ref="C71">DeltaCall(B71,C4,C5,C6,C7)</f>
        <v>0.70861196070946608</v>
      </c>
      <c r="D71" s="28" cm="1">
        <f t="array" ref="D71">DeltaPut(B71,C4,C5,C6,C7)</f>
        <v>-0.29138803929053392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9">
        <v>0.1</v>
      </c>
      <c r="Q71" s="28" cm="1">
        <f t="array" ref="Q71">vega(C3,C4,C5,P71,C7)</f>
        <v>13.799289773536414</v>
      </c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9">
        <v>30</v>
      </c>
      <c r="AF71" s="29" cm="1">
        <f t="array" ref="AF71">ThetaCall(AE71,C4,C5,C6,C7)</f>
        <v>-2.0461279534432997</v>
      </c>
      <c r="AG71" s="29" cm="1">
        <f t="array" ref="AG71">ThetaPut(AE71,C4,C5,C6,C7)</f>
        <v>4.0191786436830341</v>
      </c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</row>
    <row r="72" spans="1:78" x14ac:dyDescent="0.3">
      <c r="A72" s="2"/>
      <c r="B72" s="28">
        <v>70</v>
      </c>
      <c r="C72" s="28" cm="1">
        <f t="array" ref="C72">DeltaCall(B72,C4,C5,C6,C7)</f>
        <v>0.7540250570445628</v>
      </c>
      <c r="D72" s="28" cm="1">
        <f t="array" ref="D72">DeltaPut(B72,C4,C5,C6,C7)</f>
        <v>-0.2459749429554372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8">
        <v>0.2</v>
      </c>
      <c r="Q72" s="28" cm="1">
        <f t="array" ref="Q72">vega(C3,C4,C5,P72,C7)</f>
        <v>43.550428593702883</v>
      </c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8">
        <v>50</v>
      </c>
      <c r="AF72" s="28" cm="1">
        <f t="array" ref="AF72">ThetaCall(AE72,C4,C5,C6,C7)</f>
        <v>-3.4779246785598916</v>
      </c>
      <c r="AG72" s="28" cm="1">
        <f t="array" ref="AG72">ThetaPut(AE72,C4,C5,C6,C7)</f>
        <v>2.5873819185664422</v>
      </c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</row>
    <row r="73" spans="1:78" x14ac:dyDescent="0.3">
      <c r="A73" s="2"/>
      <c r="B73" s="28">
        <v>80</v>
      </c>
      <c r="C73" s="28" cm="1">
        <f t="array" ref="C73">DeltaCall(B73,C4,C5,C6,C7)</f>
        <v>0.79006445993164398</v>
      </c>
      <c r="D73" s="28" cm="1">
        <f t="array" ref="D73">DeltaPut(B73,C4,C5,C6,C7)</f>
        <v>-0.20993554006835602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8">
        <v>0.3</v>
      </c>
      <c r="Q73" s="28" cm="1">
        <f t="array" ref="Q73">vega(C3,C4,C5,P73,C7)</f>
        <v>52.403613468954489</v>
      </c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8">
        <v>70</v>
      </c>
      <c r="AF73" s="28" cm="1">
        <f t="array" ref="AF73">ThetaCall(AE73,C4,C5,C6,C7)</f>
        <v>-4.4871052997922103</v>
      </c>
      <c r="AG73" s="28" cm="1">
        <f t="array" ref="AG73">ThetaPut(AE73,C4,C5,C6,C7)</f>
        <v>1.5782012973341235</v>
      </c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</row>
    <row r="74" spans="1:78" x14ac:dyDescent="0.3">
      <c r="A74" s="2"/>
      <c r="B74" s="28">
        <v>90</v>
      </c>
      <c r="C74" s="28" cm="1">
        <f t="array" ref="C74">DeltaCall(B74,C4,C5,C6,C7)</f>
        <v>0.81911387240737554</v>
      </c>
      <c r="D74" s="28" cm="1">
        <f t="array" ref="D74">DeltaPut(B74,C4,C5,C6,C7)</f>
        <v>-0.18088612759262446</v>
      </c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8">
        <v>0.4</v>
      </c>
      <c r="Q74" s="28" cm="1">
        <f t="array" ref="Q74">vega(C3,C4,C5,P74,C7)</f>
        <v>54.105327148050144</v>
      </c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8">
        <v>90</v>
      </c>
      <c r="AF74" s="28" cm="1">
        <f t="array" ref="AF74">ThetaCall(AE74,C4,C5,C6,C7)</f>
        <v>-5.1860963267712741</v>
      </c>
      <c r="AG74" s="28" cm="1">
        <f t="array" ref="AG74">ThetaPut(AE74,C4,C5,C6,C7)</f>
        <v>0.87921027035506016</v>
      </c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</row>
    <row r="75" spans="1:78" x14ac:dyDescent="0.3">
      <c r="A75" s="2"/>
      <c r="B75" s="28">
        <v>100</v>
      </c>
      <c r="C75" s="28" cm="1">
        <f t="array" ref="C75">DeltaCall(B75,C4,C5,C6,C7)</f>
        <v>0.8428476697630729</v>
      </c>
      <c r="D75" s="28" cm="1">
        <f t="array" ref="D75">DeltaPut(B75,C4,C5,C6,C7)</f>
        <v>-0.1571523302369271</v>
      </c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8">
        <v>0.5</v>
      </c>
      <c r="Q75" s="28" cm="1">
        <f t="array" ref="Q75">vega(C3,C4,C5,P75,C7)</f>
        <v>52.969920893303865</v>
      </c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8">
        <v>110</v>
      </c>
      <c r="AF75" s="28" cm="1">
        <f t="array" ref="AF75">ThetaCall(AE75,C4,C5,C6,C7)</f>
        <v>-5.6727658313274496</v>
      </c>
      <c r="AG75" s="28" cm="1">
        <f t="array" ref="AG75">ThetaPut(AE75,C4,C5,C6,C7)</f>
        <v>0.39254076579888464</v>
      </c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</row>
    <row r="76" spans="1:78" x14ac:dyDescent="0.3">
      <c r="A76" s="2"/>
      <c r="B76" s="28">
        <v>110</v>
      </c>
      <c r="C76" s="28" cm="1">
        <f t="array" ref="C76">DeltaCall(B76,C4,C5,C6,C7)</f>
        <v>0.86246882972183214</v>
      </c>
      <c r="D76" s="28" cm="1">
        <f t="array" ref="D76">DeltaPut(B76,C4,C5,C6,C7)</f>
        <v>-0.13753117027816786</v>
      </c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8">
        <v>0.6</v>
      </c>
      <c r="Q76" s="28" cm="1">
        <f t="array" ref="Q76">vega(C3,C4,C5,P76,C7)</f>
        <v>50.400905966865857</v>
      </c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8">
        <v>130</v>
      </c>
      <c r="AF76" s="28" cm="1">
        <f t="array" ref="AF76">ThetaCall(AE76,C4,C5,C6,C7)</f>
        <v>-6.0141711584588098</v>
      </c>
      <c r="AG76" s="28" cm="1">
        <f t="array" ref="AG76">ThetaPut(AE76,C4,C5,C6,C7)</f>
        <v>5.1135438667523569E-2</v>
      </c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</row>
    <row r="77" spans="1:78" x14ac:dyDescent="0.3">
      <c r="A77" s="2"/>
      <c r="B77" s="28">
        <v>120</v>
      </c>
      <c r="C77" s="28" cm="1">
        <f t="array" ref="C77">DeltaCall(B77,C4,C5,C6,C7)</f>
        <v>0.87885940341193858</v>
      </c>
      <c r="D77" s="28" cm="1">
        <f t="array" ref="D77">DeltaPut(B77,C4,C5,C6,C7)</f>
        <v>-0.12114059658806142</v>
      </c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8">
        <v>0.7</v>
      </c>
      <c r="Q77" s="28" cm="1">
        <f t="array" ref="Q77">vega(C3,C4,C5,P77,C7)</f>
        <v>47.004183663476311</v>
      </c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8">
        <v>150</v>
      </c>
      <c r="AF77" s="28" cm="1">
        <f t="array" ref="AF77">ThetaCall(AE77,C4,C5,C6,C7)</f>
        <v>-6.2548632385662524</v>
      </c>
      <c r="AG77" s="28" cm="1">
        <f t="array" ref="AG77">ThetaPut(AE77,C4,C5,C6,C7)</f>
        <v>-0.18955664143991857</v>
      </c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</row>
    <row r="78" spans="1:78" x14ac:dyDescent="0.3">
      <c r="A78" s="2"/>
      <c r="B78" s="28">
        <v>130</v>
      </c>
      <c r="C78" s="28" cm="1">
        <f t="array" ref="C78">DeltaCall(B78,C4,C5,C6,C7)</f>
        <v>0.89267797416580585</v>
      </c>
      <c r="D78" s="28" cm="1">
        <f t="array" ref="D78">DeltaPut(B78,C4,C5,C6,C7)</f>
        <v>-0.10732202583419415</v>
      </c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8">
        <v>0.8</v>
      </c>
      <c r="Q78" s="28" cm="1">
        <f t="array" ref="Q78">vega(C3,C4,C5,P78,C7)</f>
        <v>43.117800900041942</v>
      </c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8">
        <v>170</v>
      </c>
      <c r="AF78" s="28" cm="1">
        <f t="array" ref="AF78">ThetaCall(AE78,C4,C5,C6,C7)</f>
        <v>-6.4246511565913096</v>
      </c>
      <c r="AG78" s="28" cm="1">
        <f t="array" ref="AG78">ThetaPut(AE78,C4,C5,C6,C7)</f>
        <v>-0.35934455946497534</v>
      </c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</row>
    <row r="79" spans="1:78" x14ac:dyDescent="0.3">
      <c r="A79" s="2"/>
      <c r="B79" s="28">
        <v>140</v>
      </c>
      <c r="C79" s="28" cm="1">
        <f t="array" ref="C79">DeltaCall(B79,C4,C5,C6,C7)</f>
        <v>0.90442429296136029</v>
      </c>
      <c r="D79" s="28" cm="1">
        <f t="array" ref="D79">DeltaPut(B79,C4,C5,C6,C7)</f>
        <v>-9.5575707038639712E-2</v>
      </c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8">
        <v>0.9</v>
      </c>
      <c r="Q79" s="28" cm="1">
        <f t="array" ref="Q79">vega(C3,C4,C5,P79,C7)</f>
        <v>38.97004019756487</v>
      </c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8">
        <v>190</v>
      </c>
      <c r="AF79" s="28" cm="1">
        <f t="array" ref="AF79">ThetaCall(AE79,C4,C5,C6,C7)</f>
        <v>-6.5438049110014962</v>
      </c>
      <c r="AG79" s="28" cm="1">
        <f t="array" ref="AG79">ThetaPut(AE79,C4,C5,C6,C7)</f>
        <v>-0.47849831387516195</v>
      </c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</row>
    <row r="80" spans="1:78" x14ac:dyDescent="0.3">
      <c r="A80" s="2"/>
      <c r="B80" s="28">
        <v>160</v>
      </c>
      <c r="C80" s="28" cm="1">
        <f t="array" ref="C80">DeltaCall(B80,C4,C5,C6,C7)</f>
        <v>0.92315449550143924</v>
      </c>
      <c r="D80" s="28" cm="1">
        <f t="array" ref="D80">DeltaPut(B80,C4,C5,C6,C7)</f>
        <v>-7.6845504498560757E-2</v>
      </c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8">
        <v>1</v>
      </c>
      <c r="Q80" s="28" cm="1">
        <f t="array" ref="Q80">vega(C3,C4,C5,P80,C7)</f>
        <v>34.733211011786807</v>
      </c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8">
        <v>210</v>
      </c>
      <c r="AF80" s="28" cm="1">
        <f t="array" ref="AF80">ThetaCall(AE80,C4,C5,C6,C7)</f>
        <v>-6.6263529023389092</v>
      </c>
      <c r="AG80" s="28" cm="1">
        <f t="array" ref="AG80">ThetaPut(AE80,C4,C5,C6,C7)</f>
        <v>-0.56104630521257493</v>
      </c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</row>
    <row r="81" spans="1:78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</row>
    <row r="82" spans="1:78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</row>
    <row r="83" spans="1:78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</row>
    <row r="84" spans="1:78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</row>
    <row r="85" spans="1:78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</row>
    <row r="86" spans="1:78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</row>
    <row r="87" spans="1:78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</row>
    <row r="88" spans="1:78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</row>
    <row r="89" spans="1:78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</row>
    <row r="90" spans="1:78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</row>
    <row r="91" spans="1:78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</row>
    <row r="92" spans="1:78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</row>
    <row r="93" spans="1:78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</row>
    <row r="94" spans="1:78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</row>
    <row r="95" spans="1:78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</row>
    <row r="96" spans="1:78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</row>
    <row r="97" spans="1:78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</row>
    <row r="98" spans="1:78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</row>
    <row r="99" spans="1:78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</row>
    <row r="100" spans="1:78" x14ac:dyDescent="0.3">
      <c r="A100" s="2"/>
      <c r="B100" s="30" t="s">
        <v>22</v>
      </c>
      <c r="C100" s="30" t="s">
        <v>20</v>
      </c>
      <c r="D100" s="30" t="s">
        <v>21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30" t="s">
        <v>3</v>
      </c>
      <c r="Q100" s="30" t="s">
        <v>23</v>
      </c>
      <c r="R100" s="30" t="s">
        <v>24</v>
      </c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30" t="s">
        <v>1</v>
      </c>
      <c r="AF100" s="30" t="s">
        <v>23</v>
      </c>
      <c r="AG100" s="30" t="s">
        <v>24</v>
      </c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</row>
    <row r="101" spans="1:78" x14ac:dyDescent="0.3">
      <c r="A101" s="2"/>
      <c r="B101" s="29">
        <v>1</v>
      </c>
      <c r="C101" s="28" cm="1">
        <f t="array" ref="C101">ThetaCall(C3,C4,C5,C6,B101)</f>
        <v>-12.316477314097126</v>
      </c>
      <c r="D101" s="28" cm="1">
        <f t="array" ref="D101">ThetaPut(C3,C4,C5,C6,B101)</f>
        <v>-3.2681031337375313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9">
        <v>0.1</v>
      </c>
      <c r="Q101" s="28" cm="1">
        <f t="array" ref="Q101">RhoCall(C3,C4,P101,C6,C7)</f>
        <v>126.88001410530404</v>
      </c>
      <c r="R101" s="28" cm="1">
        <f t="array" ref="R101">RhoPut(C3,C4,P101,C6,C7)</f>
        <v>-176.38531575101268</v>
      </c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9">
        <v>30</v>
      </c>
      <c r="AF101" s="29" cm="1">
        <f t="array" ref="AF101">RhoCall(AE101,C4,C5,C6,C7)</f>
        <v>35.568441106475916</v>
      </c>
      <c r="AG101" s="29" cm="1">
        <f t="array" ref="AG101">RhoPut(AE101,C4,C5,C6,C7)</f>
        <v>-267.69688874984081</v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</row>
    <row r="102" spans="1:78" x14ac:dyDescent="0.3">
      <c r="A102" s="2"/>
      <c r="B102" s="28">
        <v>2</v>
      </c>
      <c r="C102" s="28" cm="1">
        <f t="array" ref="C102">ThetaCall(C3,C4,C5,C6,B102)</f>
        <v>-9.0180400658366384</v>
      </c>
      <c r="D102" s="28" cm="1">
        <f t="array" ref="D102">ThetaPut(C3,C4,C5,C6,B102)</f>
        <v>-0.83073253505681954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8">
        <v>0.2</v>
      </c>
      <c r="Q102" s="28" cm="1">
        <f t="array" ref="Q102">RhoCall(C3,C4,P102,C6,C7)</f>
        <v>109.49737288073679</v>
      </c>
      <c r="R102" s="28" cm="1">
        <f t="array" ref="R102">RhoPut(C3,C4,P102,C6,C7)</f>
        <v>-74.442347704984385</v>
      </c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8">
        <v>50</v>
      </c>
      <c r="AF102" s="28" cm="1">
        <f t="array" ref="AF102">RhoCall(AE102,C4,C5,C6,C7)</f>
        <v>70.404119857051583</v>
      </c>
      <c r="AG102" s="28" cm="1">
        <f t="array" ref="AG102">RhoPut(AE102,C4,C5,C6,C7)</f>
        <v>-232.86120999926516</v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</row>
    <row r="103" spans="1:78" x14ac:dyDescent="0.3">
      <c r="A103" s="2"/>
      <c r="B103" s="28">
        <v>3</v>
      </c>
      <c r="C103" s="28" cm="1">
        <f t="array" ref="C103">ThetaCall(C3,C4,C5,C6,B103)</f>
        <v>-7.2672963975959108</v>
      </c>
      <c r="D103" s="28" cm="1">
        <f t="array" ref="D103">ThetaPut(C3,C4,C5,C6,B103)</f>
        <v>0.1408858092212677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8">
        <v>0.3</v>
      </c>
      <c r="Q103" s="28" cm="1">
        <f t="array" ref="Q103">RhoCall(C3,C4,P103,C6,C7)</f>
        <v>84.164170144812402</v>
      </c>
      <c r="R103" s="28" cm="1">
        <f t="array" ref="R103">RhoPut(C3,C4,P103,C6,C7)</f>
        <v>-27.400909929402502</v>
      </c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8">
        <v>70</v>
      </c>
      <c r="AF103" s="28" cm="1">
        <f t="array" ref="AF103">RhoCall(AE103,C4,C5,C6,C7)</f>
        <v>101.07787243075981</v>
      </c>
      <c r="AG103" s="28" cm="1">
        <f t="array" ref="AG103">RhoPut(AE103,C4,C5,C6,C7)</f>
        <v>-202.18745742555691</v>
      </c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</row>
    <row r="104" spans="1:78" x14ac:dyDescent="0.3">
      <c r="A104" s="2"/>
      <c r="B104" s="28">
        <v>4</v>
      </c>
      <c r="C104" s="28" cm="1">
        <f t="array" ref="C104">ThetaCall(C3,C4,C5,C6,B104)</f>
        <v>-6.0792519398093177</v>
      </c>
      <c r="D104" s="28" cm="1">
        <f t="array" ref="D104">ThetaPut(C3,C4,C5,C6,B104)</f>
        <v>0.62394852054707561</v>
      </c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8">
        <v>0.4</v>
      </c>
      <c r="Q104" s="28" cm="1">
        <f t="array" ref="Q104">RhoCall(C3,C4,P104,C6,C7)</f>
        <v>59.001988895939299</v>
      </c>
      <c r="R104" s="28" cm="1">
        <f t="array" ref="R104">RhoPut(C3,C4,P104,C6,C7)</f>
        <v>-8.6656527223670565</v>
      </c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8">
        <v>90</v>
      </c>
      <c r="AF104" s="28" cm="1">
        <f t="array" ref="AF104">RhoCall(AE104,C4,C5,C6,C7)</f>
        <v>126.88001410530404</v>
      </c>
      <c r="AG104" s="28" cm="1">
        <f t="array" ref="AG104">RhoPut(AE104,C4,C5,C6,C7)</f>
        <v>-176.38531575101268</v>
      </c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</row>
    <row r="105" spans="1:78" x14ac:dyDescent="0.3">
      <c r="A105" s="2"/>
      <c r="B105" s="28">
        <v>5</v>
      </c>
      <c r="C105" s="28" cm="1">
        <f t="array" ref="C105">ThetaCall(C3,C4,C5,C6,B105)</f>
        <v>-5.1860963267712741</v>
      </c>
      <c r="D105" s="28" cm="1">
        <f t="array" ref="D105">ThetaPut(C3,C4,C5,C6,B105)</f>
        <v>0.87921027035506016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8">
        <v>0.5</v>
      </c>
      <c r="Q105" s="28" cm="1">
        <f t="array" ref="Q105">RhoCall(C3,C4,P105,C6,C7)</f>
        <v>38.714077485821392</v>
      </c>
      <c r="R105" s="28" cm="1">
        <f t="array" ref="R105">RhoPut(C3,C4,P105,C6,C7)</f>
        <v>-2.3284218261280056</v>
      </c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8">
        <v>110</v>
      </c>
      <c r="AF105" s="28" cm="1">
        <f t="array" ref="AF105">RhoCall(AE105,C4,C5,C6,C7)</f>
        <v>148.42022992539304</v>
      </c>
      <c r="AG105" s="28" cm="1">
        <f t="array" ref="AG105">RhoPut(AE105,C4,C5,C6,C7)</f>
        <v>-154.84509993092368</v>
      </c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</row>
    <row r="106" spans="1:78" x14ac:dyDescent="0.3">
      <c r="A106" s="2"/>
      <c r="B106" s="28">
        <v>6</v>
      </c>
      <c r="C106" s="28" cm="1">
        <f t="array" ref="C106">ThetaCall(C3,C4,C5,C6,B106)</f>
        <v>-4.4773853628464053</v>
      </c>
      <c r="D106" s="28" cm="1">
        <f t="array" ref="D106">ThetaPut(C3,C4,C5,C6,B106)</f>
        <v>1.0107309980938588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8">
        <v>0.6</v>
      </c>
      <c r="Q106" s="28" cm="1">
        <f t="array" ref="Q106">RhoCall(C3,C4,P106,C6,C7)</f>
        <v>24.366366703488886</v>
      </c>
      <c r="R106" s="28" cm="1">
        <f t="array" ref="R106">RhoPut(C3,C4,P106,C6,C7)</f>
        <v>-0.5271674804430917</v>
      </c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8">
        <v>130</v>
      </c>
      <c r="AF106" s="28" cm="1">
        <f t="array" ref="AF106">RhoCall(AE106,C4,C5,C6,C7)</f>
        <v>166.45989625122081</v>
      </c>
      <c r="AG106" s="28" cm="1">
        <f t="array" ref="AG106">RhoPut(AE106,C4,C5,C6,C7)</f>
        <v>-136.80543360509591</v>
      </c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</row>
    <row r="107" spans="1:78" x14ac:dyDescent="0.3">
      <c r="A107" s="2"/>
      <c r="B107" s="28">
        <v>7</v>
      </c>
      <c r="C107" s="28" cm="1">
        <f t="array" ref="C107">ThetaCall(C3,C4,C5,C6,B107)</f>
        <v>-3.8965727758099664</v>
      </c>
      <c r="D107" s="28" cm="1">
        <f t="array" ref="D107">ThetaPut(C3,C4,C5,C6,B107)</f>
        <v>1.0692802621041286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8">
        <v>0.7</v>
      </c>
      <c r="Q107" s="28" cm="1">
        <f t="array" ref="Q107">RhoCall(C3,C4,P107,C6,C7)</f>
        <v>14.998736472601264</v>
      </c>
      <c r="R107" s="28" cm="1">
        <f t="array" ref="R107">RhoPut(C3,C4,P107,C6,C7)</f>
        <v>-9.9955238557987547E-2</v>
      </c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8">
        <v>150</v>
      </c>
      <c r="AF107" s="28" cm="1">
        <f t="array" ref="AF107">RhoCall(AE107,C4,C5,C6,C7)</f>
        <v>181.66719306164194</v>
      </c>
      <c r="AG107" s="28" cm="1">
        <f t="array" ref="AG107">RhoPut(AE107,C4,C5,C6,C7)</f>
        <v>-121.59813679467476</v>
      </c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</row>
    <row r="108" spans="1:78" x14ac:dyDescent="0.3">
      <c r="A108" s="2"/>
      <c r="B108" s="28">
        <v>8</v>
      </c>
      <c r="C108" s="28" cm="1">
        <f t="array" ref="C108">ThetaCall(C3,C4,C5,C6,B108)</f>
        <v>-3.4104861867606786</v>
      </c>
      <c r="D108" s="28" cm="1">
        <f t="array" ref="D108">ThetaPut(C3,C4,C5,C6,B108)</f>
        <v>1.0828034544115375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8">
        <v>0.8</v>
      </c>
      <c r="Q108" s="28" cm="1">
        <f t="array" ref="Q108">RhoCall(C3,C4,P108,C6,C7)</f>
        <v>9.1420194325757151</v>
      </c>
      <c r="R108" s="28" cm="1">
        <f t="array" ref="R108">RhoPut(C3,C4,P108,C6,C7)</f>
        <v>-1.5800011791374222E-2</v>
      </c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8">
        <v>170</v>
      </c>
      <c r="AF108" s="28" cm="1">
        <f t="array" ref="AF108">RhoCall(AE108,C4,C5,C6,C7)</f>
        <v>194.58252576139671</v>
      </c>
      <c r="AG108" s="28" cm="1">
        <f t="array" ref="AG108">RhoPut(AE108,C4,C5,C6,C7)</f>
        <v>-108.68280409492002</v>
      </c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</row>
    <row r="109" spans="1:78" x14ac:dyDescent="0.3">
      <c r="A109" s="2"/>
      <c r="B109" s="28">
        <v>9</v>
      </c>
      <c r="C109" s="28" cm="1">
        <f t="array" ref="C109">ThetaCall(C3,C4,C5,C6,B109)</f>
        <v>-2.9977517545405705</v>
      </c>
      <c r="D109" s="28" cm="1">
        <f t="array" ref="D109">ThetaPut(C3,C4,C5,C6,B109)</f>
        <v>1.067944842865421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8">
        <v>0.9</v>
      </c>
      <c r="Q109" s="28" cm="1">
        <f t="array" ref="Q109">RhoCall(C3,C4,P109,C6,C7)</f>
        <v>5.5524232629847567</v>
      </c>
      <c r="R109" s="28" cm="1">
        <f t="array" ref="R109">RhoPut(C3,C4,P109,C6,C7)</f>
        <v>-2.0750061363955887E-3</v>
      </c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8">
        <v>190</v>
      </c>
      <c r="AF109" s="28" cm="1">
        <f t="array" ref="AF109">RhoCall(AE109,C4,C5,C6,C7)</f>
        <v>205.63289589806436</v>
      </c>
      <c r="AG109" s="28" cm="1">
        <f t="array" ref="AG109">RhoPut(AE109,C4,C5,C6,C7)</f>
        <v>-97.632433958252363</v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</row>
    <row r="110" spans="1:78" x14ac:dyDescent="0.3">
      <c r="A110" s="2"/>
      <c r="B110" s="28">
        <v>10</v>
      </c>
      <c r="C110" s="28" cm="1">
        <f t="array" ref="C110">ThetaCall(C3,C4,C5,C6,B110)</f>
        <v>-2.6436284055262398</v>
      </c>
      <c r="D110" s="28" cm="1">
        <f t="array" ref="D110">ThetaPut(C3,C4,C5,C6,B110)</f>
        <v>1.0351660061881833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8">
        <v>1</v>
      </c>
      <c r="Q110" s="28" cm="1">
        <f t="array" ref="Q110">RhoCall(C3,C4,P110,C6,C7)</f>
        <v>3.3687476805240752</v>
      </c>
      <c r="R110" s="28" cm="1">
        <f t="array" ref="R110">RhoPut(C3,C4,P110,C6,C7)</f>
        <v>-2.2581901865797373E-4</v>
      </c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8">
        <v>210</v>
      </c>
      <c r="AF110" s="28" cm="1">
        <f t="array" ref="AF110">RhoCall(AE110,C4,C5,C6,C7)</f>
        <v>215.1543792478013</v>
      </c>
      <c r="AG110" s="28" cm="1">
        <f t="array" ref="AG110">RhoPut(AE110,C4,C5,C6,C7)</f>
        <v>-88.110950608515438</v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</row>
    <row r="111" spans="1:78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</row>
    <row r="112" spans="1:78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</row>
    <row r="113" spans="1:78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</row>
    <row r="114" spans="1:78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</row>
    <row r="115" spans="1:78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</row>
    <row r="116" spans="1:78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</row>
    <row r="117" spans="1:78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</row>
    <row r="118" spans="1:78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</row>
    <row r="119" spans="1:78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</row>
    <row r="120" spans="1:78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</row>
    <row r="121" spans="1:78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</row>
    <row r="122" spans="1:78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</row>
    <row r="123" spans="1:78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</row>
    <row r="124" spans="1:78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</row>
    <row r="125" spans="1:78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</row>
    <row r="126" spans="1:78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</row>
    <row r="127" spans="1:78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</row>
    <row r="128" spans="1:78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</row>
    <row r="129" spans="1:78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</row>
    <row r="130" spans="1:78" x14ac:dyDescent="0.3">
      <c r="A130" s="2"/>
      <c r="B130" s="30" t="s">
        <v>4</v>
      </c>
      <c r="C130" s="30" t="s">
        <v>15</v>
      </c>
      <c r="D130" s="30" t="s">
        <v>16</v>
      </c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30" t="s">
        <v>2</v>
      </c>
      <c r="Q130" s="30" t="s">
        <v>15</v>
      </c>
      <c r="R130" s="30" t="s">
        <v>16</v>
      </c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</row>
    <row r="131" spans="1:78" x14ac:dyDescent="0.3">
      <c r="A131" s="2"/>
      <c r="B131" s="29">
        <v>0.1</v>
      </c>
      <c r="C131" s="28" cm="1">
        <f t="array" ref="C131">PriceCall(C3,C4,C5,B131,C7)</f>
        <v>29.603227984978972</v>
      </c>
      <c r="D131" s="28" cm="1">
        <f t="array" ref="D131">PricePut(C3,C4,C5,B131,C7)</f>
        <v>0.25629395624230611</v>
      </c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9">
        <v>10</v>
      </c>
      <c r="Q131" s="28" cm="1">
        <f t="array" ref="Q131">PriceCall(C3,P131,C5,C6,C7)</f>
        <v>83.99486697958865</v>
      </c>
      <c r="R131" s="28" cm="1">
        <f t="array" ref="R131">PricePut(C3,P131,C5,C6,C7)</f>
        <v>6.0173576714982913E-2</v>
      </c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</row>
    <row r="132" spans="1:78" x14ac:dyDescent="0.3">
      <c r="A132" s="2"/>
      <c r="B132" s="28">
        <v>0.2</v>
      </c>
      <c r="C132" s="28" cm="1">
        <f t="array" ref="C132">PriceCall(C3,C4,C5,B132,C7)</f>
        <v>32.721771411100057</v>
      </c>
      <c r="D132" s="28" cm="1">
        <f t="array" ref="D132">PricePut(C3,C4,C5,B132,C7)</f>
        <v>3.3748373823634061</v>
      </c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8">
        <v>50</v>
      </c>
      <c r="Q132" s="28" cm="1">
        <f t="array" ref="Q132">PriceCall(C3,P132,C5,C6,C7)</f>
        <v>64.319283900202592</v>
      </c>
      <c r="R132" s="28" cm="1">
        <f t="array" ref="R132">PricePut(C3,P132,C5,C6,C7)</f>
        <v>4.6458168858342637</v>
      </c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</row>
    <row r="133" spans="1:78" x14ac:dyDescent="0.3">
      <c r="A133" s="2"/>
      <c r="B133" s="28">
        <v>0.3</v>
      </c>
      <c r="C133" s="28" cm="1">
        <f t="array" ref="C133">PriceCall(C3,C4,C5,B133,C7)</f>
        <v>37.615201897401732</v>
      </c>
      <c r="D133" s="28" cm="1">
        <f t="array" ref="D133">PricePut(C3,C4,C5,B133,C7)</f>
        <v>8.2682678686650632</v>
      </c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8">
        <v>80</v>
      </c>
      <c r="Q133" s="28" cm="1">
        <f t="array" ref="Q133">PriceCall(C3,P133,C5,C6,C7)</f>
        <v>53.879361946017468</v>
      </c>
      <c r="R133" s="28" cm="1">
        <f t="array" ref="R133">PricePut(C3,P133,C5,C6,C7)</f>
        <v>12.401814723028135</v>
      </c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</row>
    <row r="134" spans="1:78" x14ac:dyDescent="0.3">
      <c r="A134" s="2"/>
      <c r="B134" s="28">
        <v>0.4</v>
      </c>
      <c r="C134" s="28" cm="1">
        <f t="array" ref="C134">PriceCall(C3,C4,C5,B134,C7)</f>
        <v>42.974653378949483</v>
      </c>
      <c r="D134" s="28" cm="1">
        <f t="array" ref="D134">PricePut(C3,C4,C5,B134,C7)</f>
        <v>13.627719350212821</v>
      </c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8">
        <v>120</v>
      </c>
      <c r="Q134" s="28" cm="1">
        <f t="array" ref="Q134">PriceCall(C3,P134,C5,C6,C7)</f>
        <v>43.661709885264315</v>
      </c>
      <c r="R134" s="28" cm="1">
        <f t="array" ref="R134">PricePut(C3,P134,C5,C6,C7)</f>
        <v>26.445389050780314</v>
      </c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</row>
    <row r="135" spans="1:78" x14ac:dyDescent="0.3">
      <c r="A135" s="2"/>
      <c r="B135" s="28">
        <v>0.5</v>
      </c>
      <c r="C135" s="28" cm="1">
        <f t="array" ref="C135">PriceCall(C3,C4,C5,B135,C7)</f>
        <v>48.344245695602993</v>
      </c>
      <c r="D135" s="28" cm="1">
        <f t="array" ref="D135">PricePut(C3,C4,C5,B135,C7)</f>
        <v>18.997311666866334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8">
        <v>160</v>
      </c>
      <c r="Q135" s="28" cm="1">
        <f t="array" ref="Q135">PriceCall(C3,P135,C5,C6,C7)</f>
        <v>36.198009835415576</v>
      </c>
      <c r="R135" s="28" cm="1">
        <f t="array" ref="R135">PricePut(C3,P135,C5,C6,C7)</f>
        <v>43.242915389436902</v>
      </c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</row>
    <row r="136" spans="1:78" x14ac:dyDescent="0.3">
      <c r="A136" s="2"/>
      <c r="B136" s="28">
        <v>0.6</v>
      </c>
      <c r="C136" s="28" cm="1">
        <f t="array" ref="C136">PriceCall(C3,C4,C5,B136,C7)</f>
        <v>53.521590149448038</v>
      </c>
      <c r="D136" s="28" cm="1">
        <f t="array" ref="D136">PricePut(C3,C4,C5,B136,C7)</f>
        <v>24.174656120711369</v>
      </c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8">
        <v>200</v>
      </c>
      <c r="Q136" s="28" cm="1">
        <f t="array" ref="Q136">PriceCall(C3,P136,C5,C6,C7)</f>
        <v>30.543049794367903</v>
      </c>
      <c r="R136" s="28" cm="1">
        <f t="array" ref="R136">PricePut(C3,P136,C5,C6,C7)</f>
        <v>61.8491817368946</v>
      </c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</row>
    <row r="137" spans="1:78" x14ac:dyDescent="0.3">
      <c r="A137" s="2"/>
      <c r="B137" s="28">
        <v>0.7</v>
      </c>
      <c r="C137" s="28" cm="1">
        <f t="array" ref="C137">PriceCall(C3,C4,C5,B137,C7)</f>
        <v>58.397097373238807</v>
      </c>
      <c r="D137" s="28" cm="1">
        <f t="array" ref="D137">PricePut(C3,C4,C5,B137,C7)</f>
        <v>29.050163344502153</v>
      </c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8">
        <v>240</v>
      </c>
      <c r="Q137" s="28" cm="1">
        <f t="array" ref="Q137">PriceCall(C3,P137,C5,C6,C7)</f>
        <v>26.135505605519651</v>
      </c>
      <c r="R137" s="28" cm="1">
        <f t="array" ref="R137">PricePut(C3,P137,C5,C6,C7)</f>
        <v>81.702863936551651</v>
      </c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</row>
    <row r="138" spans="1:78" x14ac:dyDescent="0.3">
      <c r="A138" s="2"/>
      <c r="B138" s="28">
        <v>0.8</v>
      </c>
      <c r="C138" s="28" cm="1">
        <f t="array" ref="C138">PriceCall(C3,C4,C5,B138,C7)</f>
        <v>62.90621576496364</v>
      </c>
      <c r="D138" s="28" cm="1">
        <f t="array" ref="D138">PricePut(C3,C4,C5,B138,C7)</f>
        <v>33.559281736226993</v>
      </c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8">
        <v>280</v>
      </c>
      <c r="Q138" s="28" cm="1">
        <f t="array" ref="Q138">PriceCall(C3,P138,C5,C6,C7)</f>
        <v>22.622232488482943</v>
      </c>
      <c r="R138" s="28" cm="1">
        <f t="array" ref="R138">PricePut(C3,P138,C5,C6,C7)</f>
        <v>102.45081720802031</v>
      </c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</row>
    <row r="139" spans="1:78" x14ac:dyDescent="0.3">
      <c r="A139" s="2"/>
      <c r="B139" s="28">
        <v>0.9</v>
      </c>
      <c r="C139" s="28" cm="1">
        <f t="array" ref="C139">PriceCall(C3,C4,C5,B139,C7)</f>
        <v>67.012003374608767</v>
      </c>
      <c r="D139" s="28" cm="1">
        <f t="array" ref="D139">PricePut(C3,C4,C5,B139,C7)</f>
        <v>37.665069345872098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8">
        <v>300</v>
      </c>
      <c r="Q139" s="28" cm="1">
        <f t="array" ref="Q139">PriceCall(C3,P139,C5,C6,C7)</f>
        <v>21.124891596890233</v>
      </c>
      <c r="R139" s="28" cm="1">
        <f t="array" ref="R139">PricePut(C3,P139,C5,C6,C7)</f>
        <v>113.08408951068026</v>
      </c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</row>
    <row r="140" spans="1:78" x14ac:dyDescent="0.3">
      <c r="A140" s="2"/>
      <c r="B140" s="28">
        <v>1</v>
      </c>
      <c r="C140" s="28" cm="1">
        <f t="array" ref="C140">PriceCall(C3,C4,C5,B140,C7)</f>
        <v>70.697293705159211</v>
      </c>
      <c r="D140" s="28" cm="1">
        <f t="array" ref="D140">PricePut(C3,C4,C5,B140,C7)</f>
        <v>41.350359676422542</v>
      </c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8">
        <v>350</v>
      </c>
      <c r="Q140" s="28" cm="1">
        <f t="array" ref="Q140">PriceCall(C3,P140,C5,C6,C7)</f>
        <v>17.967088506308258</v>
      </c>
      <c r="R140" s="28" cm="1">
        <f t="array" ref="R140">PricePut(C3,P140,C5,C6,C7)</f>
        <v>140.25281940572998</v>
      </c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</row>
    <row r="141" spans="1:78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</row>
    <row r="142" spans="1:78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</row>
    <row r="143" spans="1:78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</row>
    <row r="144" spans="1:78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</row>
    <row r="145" spans="1:78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</row>
    <row r="146" spans="1:78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</row>
    <row r="147" spans="1:78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</row>
    <row r="148" spans="1:78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</row>
    <row r="149" spans="1:78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</row>
    <row r="150" spans="1:78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</row>
    <row r="151" spans="1:78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</row>
    <row r="152" spans="1:78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</row>
    <row r="153" spans="1:78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</row>
    <row r="154" spans="1:78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</row>
    <row r="155" spans="1:78" x14ac:dyDescent="0.3">
      <c r="A155" s="2"/>
      <c r="B155" s="30" t="s">
        <v>1</v>
      </c>
      <c r="C155" s="30" t="s">
        <v>15</v>
      </c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30" t="s">
        <v>1</v>
      </c>
      <c r="Q155" s="30" t="s">
        <v>16</v>
      </c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</row>
    <row r="156" spans="1:78" x14ac:dyDescent="0.3">
      <c r="A156" s="2"/>
      <c r="B156" s="28">
        <v>10</v>
      </c>
      <c r="C156" s="28" cm="1">
        <f t="array" ref="C156">PriceCall(B156,C4,C5,C6,C7)</f>
        <v>0.55407427721308034</v>
      </c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8">
        <v>10</v>
      </c>
      <c r="Q156" s="28" cm="1">
        <f t="array" ref="Q156">PricePut(B156,C4,C5,C6,C7)</f>
        <v>51.207140248476421</v>
      </c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</row>
    <row r="157" spans="1:78" x14ac:dyDescent="0.3">
      <c r="A157" s="2"/>
      <c r="B157" s="28">
        <v>30</v>
      </c>
      <c r="C157" s="28" cm="1">
        <f t="array" ref="C157">PriceCall(B157,C4,C5,C6,C7)</f>
        <v>7.041630532296745</v>
      </c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8">
        <v>30</v>
      </c>
      <c r="Q157" s="28" cm="1">
        <f t="array" ref="Q157">PricePut(B157,C4,C5,C6,C7)</f>
        <v>37.694696503560088</v>
      </c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</row>
    <row r="158" spans="1:78" x14ac:dyDescent="0.3">
      <c r="A158" s="2"/>
      <c r="B158" s="28">
        <v>50</v>
      </c>
      <c r="C158" s="28" cm="1">
        <f t="array" ref="C158">PriceCall(B158,C4,C5,C6,C7)</f>
        <v>18.436589732149386</v>
      </c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8">
        <v>50</v>
      </c>
      <c r="Q158" s="28" cm="1">
        <f t="array" ref="Q158">PricePut(B158,C4,C5,C6,C7)</f>
        <v>29.089655703412738</v>
      </c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</row>
    <row r="159" spans="1:78" x14ac:dyDescent="0.3">
      <c r="A159" s="2"/>
      <c r="B159" s="28">
        <v>70</v>
      </c>
      <c r="C159" s="28" cm="1">
        <f t="array" ref="C159">PriceCall(B159,C4,C5,C6,C7)</f>
        <v>32.56617950696743</v>
      </c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8">
        <v>70</v>
      </c>
      <c r="Q159" s="28" cm="1">
        <f t="array" ref="Q159">PricePut(B159,C4,C5,C6,C7)</f>
        <v>23.219245478230778</v>
      </c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</row>
    <row r="160" spans="1:78" x14ac:dyDescent="0.3">
      <c r="A160" s="2"/>
      <c r="B160" s="28">
        <v>90</v>
      </c>
      <c r="C160" s="28" cm="1">
        <f t="array" ref="C160">PriceCall(B160,C4,C5,C6,C7)</f>
        <v>48.344245695602993</v>
      </c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8">
        <v>90</v>
      </c>
      <c r="Q160" s="28" cm="1">
        <f t="array" ref="Q160">PricePut(B160,C4,C5,C6,C7)</f>
        <v>18.997311666866334</v>
      </c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</row>
    <row r="161" spans="1:78" x14ac:dyDescent="0.3">
      <c r="A161" s="2"/>
      <c r="B161" s="28">
        <v>100</v>
      </c>
      <c r="C161" s="28" cm="1">
        <f t="array" ref="C161">PriceCall(B161,C4,C5,C6,C7)</f>
        <v>56.657923412756148</v>
      </c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8">
        <v>100</v>
      </c>
      <c r="Q161" s="28" cm="1">
        <f t="array" ref="Q161">PricePut(B161,C4,C5,C6,C7)</f>
        <v>17.310989384019507</v>
      </c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</row>
    <row r="162" spans="1:78" x14ac:dyDescent="0.3">
      <c r="A162" s="2"/>
      <c r="B162" s="28">
        <v>110</v>
      </c>
      <c r="C162" s="28" cm="1">
        <f t="array" ref="C162">PriceCall(B162,C4,C5,C6,C7)</f>
        <v>65.18752528432293</v>
      </c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8">
        <v>110</v>
      </c>
      <c r="Q162" s="28" cm="1">
        <f t="array" ref="Q162">PricePut(B162,C4,C5,C6,C7)</f>
        <v>15.840591255586272</v>
      </c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</row>
    <row r="163" spans="1:78" x14ac:dyDescent="0.3">
      <c r="A163" s="2"/>
      <c r="B163" s="28">
        <v>130</v>
      </c>
      <c r="C163" s="28" cm="1">
        <f t="array" ref="C163">PriceCall(B163,C4,C5,C6,C7)</f>
        <v>82.756157391310595</v>
      </c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8">
        <v>130</v>
      </c>
      <c r="Q163" s="28" cm="1">
        <f t="array" ref="Q163">PricePut(B163,C4,C5,C6,C7)</f>
        <v>13.40922336257394</v>
      </c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</row>
    <row r="164" spans="1:78" x14ac:dyDescent="0.3">
      <c r="A164" s="2"/>
      <c r="B164" s="28">
        <v>150</v>
      </c>
      <c r="C164" s="28" cm="1">
        <f t="array" ref="C164">PriceCall(B164,C4,C5,C6,C7)</f>
        <v>100.83902752940247</v>
      </c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8">
        <v>150</v>
      </c>
      <c r="Q164" s="28" cm="1">
        <f t="array" ref="Q164">PricePut(B164,C4,C5,C6,C7)</f>
        <v>11.492093500665826</v>
      </c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</row>
    <row r="165" spans="1:78" x14ac:dyDescent="0.3">
      <c r="A165" s="2"/>
      <c r="B165" s="28">
        <v>170</v>
      </c>
      <c r="C165" s="28" cm="1">
        <f t="array" ref="C165">PriceCall(B165,C4,C5,C6,C7)</f>
        <v>119.29828726703855</v>
      </c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8">
        <v>170</v>
      </c>
      <c r="Q165" s="28" cm="1">
        <f t="array" ref="Q165">PricePut(B165,C4,C5,C6,C7)</f>
        <v>9.9513532383018894</v>
      </c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</row>
    <row r="166" spans="1:78" x14ac:dyDescent="0.3">
      <c r="A166" s="2"/>
      <c r="B166" s="28">
        <v>190</v>
      </c>
      <c r="C166" s="28" cm="1">
        <f t="array" ref="C166">PriceCall(B166,C4,C5,C6,C7)</f>
        <v>138.04027556960671</v>
      </c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8">
        <v>190</v>
      </c>
      <c r="Q166" s="28" cm="1">
        <f t="array" ref="Q166">PricePut(B166,C4,C5,C6,C7)</f>
        <v>8.6933415408700849</v>
      </c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</row>
    <row r="167" spans="1:78" x14ac:dyDescent="0.3">
      <c r="A167" s="2"/>
      <c r="B167" s="28">
        <v>200</v>
      </c>
      <c r="C167" s="28" cm="1">
        <f t="array" ref="C167">PriceCall(B167,C4,C5,C6,C7)</f>
        <v>147.49595182782889</v>
      </c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8">
        <v>200</v>
      </c>
      <c r="Q167" s="28" cm="1">
        <f t="array" ref="Q167">PricePut(B167,C4,C5,C6,C7)</f>
        <v>8.1490177990922152</v>
      </c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</row>
    <row r="168" spans="1:78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</row>
    <row r="169" spans="1:78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</row>
    <row r="170" spans="1:78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</row>
    <row r="171" spans="1:78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</row>
    <row r="172" spans="1:78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</row>
    <row r="173" spans="1:78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</row>
    <row r="174" spans="1:78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</row>
    <row r="175" spans="1:78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</row>
    <row r="176" spans="1:78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</row>
    <row r="177" spans="1:78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</row>
    <row r="178" spans="1:78" x14ac:dyDescent="0.3">
      <c r="A178" s="2"/>
      <c r="B178" s="30" t="s">
        <v>2</v>
      </c>
      <c r="C178" s="30" t="s">
        <v>15</v>
      </c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30" t="s">
        <v>2</v>
      </c>
      <c r="Q178" s="30" t="s">
        <v>16</v>
      </c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</row>
    <row r="179" spans="1:78" x14ac:dyDescent="0.3">
      <c r="A179" s="2"/>
      <c r="B179" s="28">
        <v>10</v>
      </c>
      <c r="C179" s="28" cm="1">
        <f t="array" ref="C179">PriceCall(C3,B179,C5,C6,C7)</f>
        <v>83.99486697958865</v>
      </c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8">
        <v>10</v>
      </c>
      <c r="Q179" s="28" cm="1">
        <f t="array" ref="Q179">PricePut(C3,P179,C5,C6,C7)</f>
        <v>6.0173576714982913E-2</v>
      </c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</row>
    <row r="180" spans="1:78" x14ac:dyDescent="0.3">
      <c r="A180" s="2"/>
      <c r="B180" s="28">
        <v>30</v>
      </c>
      <c r="C180" s="28" cm="1">
        <f t="array" ref="C180">PriceCall(C3,B180,C5,C6,C7)</f>
        <v>73.194074869998431</v>
      </c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8">
        <v>30</v>
      </c>
      <c r="Q180" s="28" cm="1">
        <f t="array" ref="Q180">PricePut(C3,P180,C5,C6,C7)</f>
        <v>1.3899946613774286</v>
      </c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</row>
    <row r="181" spans="1:78" x14ac:dyDescent="0.3">
      <c r="A181" s="2"/>
      <c r="B181" s="28">
        <v>50</v>
      </c>
      <c r="C181" s="28" cm="1">
        <f t="array" ref="C181">PriceCall(C3,B181,C5,C6,C7)</f>
        <v>64.319283900202592</v>
      </c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8">
        <v>50</v>
      </c>
      <c r="Q181" s="28" cm="1">
        <f t="array" ref="Q181">PricePut(C3,P181,C5,C6,C7)</f>
        <v>4.6458168858342637</v>
      </c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</row>
    <row r="182" spans="1:78" x14ac:dyDescent="0.3">
      <c r="A182" s="2"/>
      <c r="B182" s="28">
        <v>70</v>
      </c>
      <c r="C182" s="28" cm="1">
        <f t="array" ref="C182">PriceCall(C3,B182,C5,C6,C7)</f>
        <v>57.037547121474844</v>
      </c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8">
        <v>70</v>
      </c>
      <c r="Q182" s="28" cm="1">
        <f t="array" ref="Q182">PricePut(C3,P182,C5,C6,C7)</f>
        <v>9.4946933013591934</v>
      </c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</row>
    <row r="183" spans="1:78" x14ac:dyDescent="0.3">
      <c r="A183" s="2"/>
      <c r="B183" s="28">
        <v>90</v>
      </c>
      <c r="C183" s="28" cm="1">
        <f t="array" ref="C183">PriceCall(C3,B183,C5,C6,C7)</f>
        <v>50.992131071480543</v>
      </c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8">
        <v>90</v>
      </c>
      <c r="Q183" s="28" cm="1">
        <f t="array" ref="Q183">PricePut(C3,P183,C5,C6,C7)</f>
        <v>15.579890445617551</v>
      </c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</row>
    <row r="184" spans="1:78" x14ac:dyDescent="0.3">
      <c r="A184" s="2"/>
      <c r="B184" s="28">
        <v>100</v>
      </c>
      <c r="C184" s="28" cm="1">
        <f t="array" ref="C184">PriceCall(C3,B184,C5,C6,C7)</f>
        <v>48.344245695602993</v>
      </c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8">
        <v>100</v>
      </c>
      <c r="Q184" s="28" cm="1">
        <f t="array" ref="Q184">PricePut(C3,P184,C5,C6,C7)</f>
        <v>18.997311666866334</v>
      </c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</row>
    <row r="185" spans="1:78" x14ac:dyDescent="0.3">
      <c r="A185" s="2"/>
      <c r="B185" s="28">
        <v>110</v>
      </c>
      <c r="C185" s="28" cm="1">
        <f t="array" ref="C185">PriceCall(C3,B185,C5,C6,C7)</f>
        <v>45.908555718763481</v>
      </c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8">
        <v>110</v>
      </c>
      <c r="Q185" s="28" cm="1">
        <f t="array" ref="Q185">PricePut(C3,P185,C5,C6,C7)</f>
        <v>22.626928287153163</v>
      </c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</row>
    <row r="186" spans="1:78" x14ac:dyDescent="0.3">
      <c r="A186" s="2"/>
      <c r="B186" s="28">
        <v>130</v>
      </c>
      <c r="C186" s="28" cm="1">
        <f t="array" ref="C186">PriceCall(C3,B186,C5,C6,C7)</f>
        <v>41.583565737328406</v>
      </c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8">
        <v>130</v>
      </c>
      <c r="Q186" s="28" cm="1">
        <f t="array" ref="Q186">PricePut(C3,P186,C5,C6,C7)</f>
        <v>30.432551499970749</v>
      </c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</row>
    <row r="187" spans="1:78" x14ac:dyDescent="0.3">
      <c r="A187" s="2"/>
      <c r="B187" s="28">
        <v>150</v>
      </c>
      <c r="C187" s="28" cm="1">
        <f t="array" ref="C187">PriceCall(C3,B187,C5,C6,C7)</f>
        <v>37.865909304018331</v>
      </c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8">
        <v>150</v>
      </c>
      <c r="Q187" s="28" cm="1">
        <f t="array" ref="Q187">PricePut(C3,P187,C5,C6,C7)</f>
        <v>38.845508260913363</v>
      </c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</row>
    <row r="188" spans="1:78" x14ac:dyDescent="0.3">
      <c r="A188" s="2"/>
      <c r="B188" s="28">
        <v>170</v>
      </c>
      <c r="C188" s="28" cm="1">
        <f t="array" ref="C188">PriceCall(C3,B188,C5,C6,C7)</f>
        <v>34.641393511878725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8">
        <v>170</v>
      </c>
      <c r="Q188" s="28" cm="1">
        <f t="array" ref="Q188">PricePut(C3,P188,C5,C6,C7)</f>
        <v>47.75160566302641</v>
      </c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</row>
    <row r="189" spans="1:78" x14ac:dyDescent="0.3">
      <c r="A189" s="2"/>
      <c r="B189" s="28">
        <v>190</v>
      </c>
      <c r="C189" s="28" cm="1">
        <f t="array" ref="C189">PriceCall(C3,B189,C5,C6,C7)</f>
        <v>31.822407577474912</v>
      </c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8">
        <v>190</v>
      </c>
      <c r="Q189" s="28" cm="1">
        <f t="array" ref="Q189">PricePut(C3,P189,C5,C6,C7)</f>
        <v>57.063232922875265</v>
      </c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</row>
    <row r="190" spans="1:78" x14ac:dyDescent="0.3">
      <c r="A190" s="2"/>
      <c r="B190" s="28">
        <v>200</v>
      </c>
      <c r="C190" s="28" cm="1">
        <f t="array" ref="C190">PriceCall(C3,B190,C5,C6,C7)</f>
        <v>30.543049794367903</v>
      </c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8">
        <v>200</v>
      </c>
      <c r="Q190" s="28" cm="1">
        <f t="array" ref="Q190">PricePut(C3,P190,C5,C6,C7)</f>
        <v>61.8491817368946</v>
      </c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</row>
    <row r="191" spans="1:78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</row>
    <row r="192" spans="1:78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</row>
    <row r="193" spans="1:78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</row>
    <row r="194" spans="1:78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</row>
    <row r="195" spans="1:78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</row>
    <row r="196" spans="1:78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</row>
    <row r="197" spans="1:78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</row>
    <row r="198" spans="1:78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</row>
    <row r="199" spans="1:78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</row>
    <row r="200" spans="1:78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</row>
    <row r="201" spans="1:78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</row>
    <row r="202" spans="1:78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</row>
    <row r="203" spans="1:78" x14ac:dyDescent="0.3">
      <c r="A203" s="2"/>
      <c r="B203" s="2"/>
      <c r="C203" s="2"/>
      <c r="D203" s="64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</row>
    <row r="204" spans="1:78" ht="15" thickBot="1" x14ac:dyDescent="0.35">
      <c r="A204" s="2"/>
      <c r="B204" s="2"/>
      <c r="C204" s="2"/>
      <c r="D204" s="64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</row>
    <row r="205" spans="1:78" x14ac:dyDescent="0.3">
      <c r="A205" s="2"/>
      <c r="B205" s="67" t="s">
        <v>2</v>
      </c>
      <c r="C205" s="68" t="s">
        <v>34</v>
      </c>
      <c r="D205" s="65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</row>
    <row r="206" spans="1:78" x14ac:dyDescent="0.3">
      <c r="A206" s="2"/>
      <c r="B206" s="69">
        <v>10</v>
      </c>
      <c r="C206" s="3" cm="1">
        <f t="array" ref="C206">LocalVolCallPrice(B206,C4,C5,C7,G3,G4,G5)</f>
        <v>5.5156752400239949E-2</v>
      </c>
      <c r="D206" s="66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</row>
    <row r="207" spans="1:78" x14ac:dyDescent="0.3">
      <c r="A207" s="2"/>
      <c r="B207" s="69">
        <v>30</v>
      </c>
      <c r="C207" s="3" cm="1">
        <f t="array" ref="C207">LocalVolCallPrice(B207,C4,C5,C7,G3,G4,G5)</f>
        <v>9.2105798426535841E-3</v>
      </c>
      <c r="D207" s="66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</row>
    <row r="208" spans="1:78" x14ac:dyDescent="0.3">
      <c r="A208" s="2"/>
      <c r="B208" s="69">
        <v>50</v>
      </c>
      <c r="C208" s="3" cm="1">
        <f t="array" ref="C208">LocalVolCallPrice(B208,C4,C5,C7,G3,G4,G5)</f>
        <v>8.4007534371800753E-4</v>
      </c>
      <c r="D208" s="66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</row>
    <row r="209" spans="1:78" x14ac:dyDescent="0.3">
      <c r="A209" s="2"/>
      <c r="B209" s="69">
        <v>70</v>
      </c>
      <c r="C209" s="3" cm="1">
        <f t="array" ref="C209">LocalVolCallPrice(B209,C4,C5,C7,G3,G4,G5)</f>
        <v>1.9930761120767788E-5</v>
      </c>
      <c r="D209" s="66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</row>
    <row r="210" spans="1:78" x14ac:dyDescent="0.3">
      <c r="A210" s="2"/>
      <c r="B210" s="69">
        <v>90</v>
      </c>
      <c r="C210" s="3" cm="1">
        <f t="array" ref="C210">LocalVolCallPrice(B210,C4,C5,C7,G3,G4,G5)</f>
        <v>1.4147044926366198E-7</v>
      </c>
      <c r="D210" s="66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</row>
    <row r="211" spans="1:78" x14ac:dyDescent="0.3">
      <c r="A211" s="2"/>
      <c r="B211" s="69">
        <v>100</v>
      </c>
      <c r="C211" s="3" cm="1">
        <f t="array" ref="C211">LocalVolCallPrice(B211,C4,C5,C7,G3,G4,G5)</f>
        <v>8.1405573034758388E-9</v>
      </c>
      <c r="D211" s="66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</row>
    <row r="212" spans="1:78" x14ac:dyDescent="0.3">
      <c r="A212" s="2"/>
      <c r="B212" s="69">
        <v>110</v>
      </c>
      <c r="C212" s="3" cm="1">
        <f t="array" ref="C212">LocalVolCallPrice(B212,C4,C5,C7,G3,G4,G5)</f>
        <v>3.7632930438741045E-10</v>
      </c>
      <c r="D212" s="66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</row>
    <row r="213" spans="1:78" x14ac:dyDescent="0.3">
      <c r="A213" s="2"/>
      <c r="B213" s="69">
        <v>130</v>
      </c>
      <c r="C213" s="3" cm="1">
        <f t="array" ref="C213">LocalVolCallPrice(B213,C4,C5,C7,G3,G4,G5)</f>
        <v>4.6012116460190868E-13</v>
      </c>
      <c r="D213" s="66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</row>
    <row r="214" spans="1:78" x14ac:dyDescent="0.3">
      <c r="A214" s="2"/>
      <c r="B214" s="69">
        <v>150</v>
      </c>
      <c r="C214" s="3" cm="1">
        <f t="array" ref="C214">LocalVolCallPrice(B214,C4,C5,C7,G3,G4,G5)</f>
        <v>3.1063530987549661E-16</v>
      </c>
      <c r="D214" s="66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</row>
    <row r="215" spans="1:78" x14ac:dyDescent="0.3">
      <c r="A215" s="2"/>
      <c r="B215" s="69">
        <v>170</v>
      </c>
      <c r="C215" s="3" cm="1">
        <f t="array" ref="C215">LocalVolCallPrice(B215,C4,C5,C7,G3,G4,G5)</f>
        <v>1.3600383893857035E-19</v>
      </c>
      <c r="D215" s="66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</row>
    <row r="216" spans="1:78" x14ac:dyDescent="0.3">
      <c r="A216" s="2"/>
      <c r="B216" s="69">
        <v>190</v>
      </c>
      <c r="C216" s="3" cm="1">
        <f t="array" ref="C216">LocalVolCallPrice(B216,C4,C5,C7,G3,G4,G5)</f>
        <v>4.4287653031292356E-23</v>
      </c>
      <c r="D216" s="66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</row>
    <row r="217" spans="1:78" ht="15" thickBot="1" x14ac:dyDescent="0.35">
      <c r="A217" s="2"/>
      <c r="B217" s="70">
        <v>200</v>
      </c>
      <c r="C217" s="4" cm="1">
        <f t="array" ref="C217">LocalVolCallPrice(B217,C4,C5,C7,G3,G4,G5)</f>
        <v>7.4171883755502169E-25</v>
      </c>
      <c r="D217" s="66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</row>
    <row r="218" spans="1:78" x14ac:dyDescent="0.3">
      <c r="A218" s="2"/>
      <c r="B218" s="2"/>
      <c r="C218" s="2"/>
      <c r="D218" s="64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</row>
    <row r="219" spans="1:78" x14ac:dyDescent="0.3">
      <c r="A219" s="2"/>
      <c r="B219" s="2"/>
      <c r="C219" s="2"/>
      <c r="D219" s="64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</row>
    <row r="220" spans="1:78" x14ac:dyDescent="0.3">
      <c r="A220" s="2"/>
      <c r="B220" s="30" t="s">
        <v>2</v>
      </c>
      <c r="C220" s="30" t="s">
        <v>35</v>
      </c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</row>
    <row r="221" spans="1:78" x14ac:dyDescent="0.3">
      <c r="A221" s="2"/>
      <c r="B221" s="28">
        <v>10</v>
      </c>
      <c r="C221" s="28" cm="1">
        <f t="array" ref="C221">LocalVolPutPrice(B221,C4,C5,C7,G3,G4,G5)</f>
        <v>-8.5788834549719209E-2</v>
      </c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</row>
    <row r="222" spans="1:78" x14ac:dyDescent="0.3">
      <c r="A222" s="2"/>
      <c r="B222" s="28">
        <v>30</v>
      </c>
      <c r="C222" s="28" cm="1">
        <f t="array" ref="C222">LocalVolPutPrice(B222,C4,C5,C7,G3,G4,G5)</f>
        <v>-1.5334378983278731</v>
      </c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</row>
    <row r="223" spans="1:78" x14ac:dyDescent="0.3">
      <c r="A223" s="2"/>
      <c r="B223" s="28">
        <v>50</v>
      </c>
      <c r="C223" s="28" cm="1">
        <f t="array" ref="C223">LocalVolPutPrice(B223,C4,C5,C7,G3,G4,G5)</f>
        <v>-7.6165411910484968E-2</v>
      </c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</row>
    <row r="224" spans="1:78" x14ac:dyDescent="0.3">
      <c r="A224" s="2"/>
      <c r="B224" s="28">
        <v>70</v>
      </c>
      <c r="C224" s="28" cm="1">
        <f t="array" ref="C224">LocalVolPutPrice(B224,C4,C5,C7,G3,G4,G5)</f>
        <v>-8.5428533203761798E-4</v>
      </c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</row>
    <row r="225" spans="1:78" x14ac:dyDescent="0.3">
      <c r="A225" s="2"/>
      <c r="B225" s="28">
        <v>90</v>
      </c>
      <c r="C225" s="28" cm="1">
        <f t="array" ref="C225">LocalVolPutPrice(B225,C4,C5,C7,G3,G4,G5)</f>
        <v>-2.8387043059436801E-6</v>
      </c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</row>
    <row r="226" spans="1:78" x14ac:dyDescent="0.3">
      <c r="A226" s="2"/>
      <c r="B226" s="28">
        <v>100</v>
      </c>
      <c r="C226" s="28" cm="1">
        <f t="array" ref="C226">LocalVolPutPrice(B226,C4,C5,C7,G3,G4,G5)</f>
        <v>-1.0588251877867055E-7</v>
      </c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</row>
    <row r="227" spans="1:78" x14ac:dyDescent="0.3">
      <c r="A227" s="2"/>
      <c r="B227" s="28">
        <v>110</v>
      </c>
      <c r="C227" s="28" cm="1">
        <f t="array" ref="C227">LocalVolPutPrice(B227,C4,C5,C7,G3,G4,G5)</f>
        <v>-2.875461363257097E-9</v>
      </c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</row>
    <row r="228" spans="1:78" x14ac:dyDescent="0.3">
      <c r="A228" s="2"/>
      <c r="B228" s="28">
        <v>130</v>
      </c>
      <c r="C228" s="28" cm="1">
        <f t="array" ref="C228">LocalVolPutPrice(B228,C4,C5,C7,G3,G4,G5)</f>
        <v>-7.7467819914047077E-14</v>
      </c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</row>
    <row r="229" spans="1:78" x14ac:dyDescent="0.3">
      <c r="A229" s="2"/>
      <c r="B229" s="28">
        <v>150</v>
      </c>
      <c r="C229" s="28" cm="1">
        <f t="array" ref="C229">LocalVolPutPrice(B229,C4,C5,C7,G3,G4,G5)</f>
        <v>1.4479298453282605E-15</v>
      </c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</row>
    <row r="230" spans="1:78" x14ac:dyDescent="0.3">
      <c r="A230" s="2"/>
      <c r="B230" s="28">
        <v>170</v>
      </c>
      <c r="C230" s="28" cm="1">
        <f t="array" ref="C230">LocalVolPutPrice(B230,C4,C5,C7,G3,G4,G5)</f>
        <v>1.0822647709478638E-18</v>
      </c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</row>
    <row r="231" spans="1:78" x14ac:dyDescent="0.3">
      <c r="A231" s="2"/>
      <c r="B231" s="28">
        <v>190</v>
      </c>
      <c r="C231" s="28" cm="1">
        <f t="array" ref="C231">LocalVolPutPrice(B231,C4,C5,C7,G3,G4,G5)</f>
        <v>4.5640800783078084E-22</v>
      </c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</row>
    <row r="232" spans="1:78" x14ac:dyDescent="0.3">
      <c r="A232" s="2"/>
      <c r="B232" s="28">
        <v>200</v>
      </c>
      <c r="C232" s="28" cm="1">
        <f t="array" ref="C232">LocalVolPutPrice(B232,C4,C5,C7,G3,G4,G5)</f>
        <v>8.3319634266029316E-24</v>
      </c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</row>
    <row r="233" spans="1:78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</row>
    <row r="234" spans="1:78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</row>
    <row r="235" spans="1:78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</row>
    <row r="236" spans="1:78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</row>
    <row r="237" spans="1:78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</row>
    <row r="238" spans="1:78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</row>
    <row r="239" spans="1:78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</row>
    <row r="240" spans="1:78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</row>
    <row r="241" spans="1:78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</row>
    <row r="242" spans="1:78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</row>
    <row r="243" spans="1:78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</row>
    <row r="244" spans="1:78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</row>
    <row r="245" spans="1:78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</row>
    <row r="246" spans="1:78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</row>
    <row r="247" spans="1:78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</row>
    <row r="248" spans="1:78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</row>
    <row r="249" spans="1:78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</row>
    <row r="250" spans="1:78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</row>
    <row r="251" spans="1:78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</row>
    <row r="252" spans="1:78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</row>
    <row r="253" spans="1:78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</row>
    <row r="254" spans="1:78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</row>
    <row r="255" spans="1:78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</row>
    <row r="256" spans="1:78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</row>
    <row r="257" spans="1:78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</row>
    <row r="258" spans="1:78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</row>
    <row r="259" spans="1:78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</row>
    <row r="260" spans="1:78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</row>
    <row r="261" spans="1:78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</row>
    <row r="262" spans="1:78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</row>
    <row r="263" spans="1:78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</row>
    <row r="264" spans="1:78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</row>
    <row r="265" spans="1:78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</row>
    <row r="266" spans="1:78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</row>
    <row r="267" spans="1:78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</row>
    <row r="268" spans="1:78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</row>
    <row r="269" spans="1:78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</row>
    <row r="270" spans="1:78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</row>
    <row r="271" spans="1:78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</row>
    <row r="272" spans="1:78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</row>
    <row r="273" spans="1:78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</row>
    <row r="274" spans="1:78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</row>
    <row r="275" spans="1:78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</row>
    <row r="276" spans="1:78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</row>
    <row r="277" spans="1:78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</row>
    <row r="278" spans="1:78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</row>
    <row r="279" spans="1:78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</row>
    <row r="280" spans="1:78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</row>
    <row r="281" spans="1:78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</row>
    <row r="282" spans="1:78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</row>
    <row r="283" spans="1:78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</row>
    <row r="284" spans="1:78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</row>
    <row r="285" spans="1:78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</row>
    <row r="286" spans="1:78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</row>
    <row r="287" spans="1:78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</row>
    <row r="288" spans="1:78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</row>
    <row r="289" spans="1:78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</row>
    <row r="290" spans="1:78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</row>
    <row r="291" spans="1:78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</row>
    <row r="292" spans="1:78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</row>
    <row r="293" spans="1:78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</row>
    <row r="294" spans="1:78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</row>
    <row r="295" spans="1:78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</row>
    <row r="296" spans="1:78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</row>
    <row r="297" spans="1:78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</row>
    <row r="298" spans="1:78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</row>
    <row r="299" spans="1:78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</row>
    <row r="300" spans="1:78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</row>
  </sheetData>
  <mergeCells count="13">
    <mergeCell ref="C22:D22"/>
    <mergeCell ref="C18:D18"/>
    <mergeCell ref="B2:C2"/>
    <mergeCell ref="B9:D9"/>
    <mergeCell ref="C11:D11"/>
    <mergeCell ref="C12:D12"/>
    <mergeCell ref="C17:D17"/>
    <mergeCell ref="G17:H17"/>
    <mergeCell ref="G21:H21"/>
    <mergeCell ref="F2:G2"/>
    <mergeCell ref="G16:H16"/>
    <mergeCell ref="F9:H9"/>
    <mergeCell ref="F11:H11"/>
  </mergeCells>
  <dataValidations count="1">
    <dataValidation allowBlank="1" sqref="C3 G3" xr:uid="{94182686-409C-48B1-954F-EAE46EACEA49}"/>
  </dataValidations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shakil abdul</dc:creator>
  <cp:lastModifiedBy>shakil rohimun</cp:lastModifiedBy>
  <dcterms:created xsi:type="dcterms:W3CDTF">2024-08-25T19:20:24Z</dcterms:created>
  <dcterms:modified xsi:type="dcterms:W3CDTF">2024-09-03T20:09:37Z</dcterms:modified>
</cp:coreProperties>
</file>